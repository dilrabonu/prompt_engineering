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torial How-To" sheetId="1" r:id="rId4"/>
    <sheet state="hidden" name="Claude Cache" sheetId="2" r:id="rId5"/>
    <sheet state="visible" name="Intro &amp; Table of Contents" sheetId="3" r:id="rId6"/>
    <sheet state="visible" name="1 - Basic Prompt Structure" sheetId="4" r:id="rId7"/>
    <sheet state="visible" name="1 - Exercises Basic Prompt Stru" sheetId="5" r:id="rId8"/>
    <sheet state="visible" name="2 - Being Clear and Direct" sheetId="6" r:id="rId9"/>
    <sheet state="visible" name="2 - Exercises Being Clear and D" sheetId="7" r:id="rId10"/>
    <sheet state="visible" name="3 - Assigning Roles (Role Promp" sheetId="8" r:id="rId11"/>
    <sheet state="visible" name="3 - Exercises Assigning Roles (" sheetId="9" r:id="rId12"/>
    <sheet state="visible" name="4 - Separating Data and Instruc" sheetId="10" r:id="rId13"/>
    <sheet state="visible" name="4 - Exercises Separating Data a" sheetId="11" r:id="rId14"/>
    <sheet state="visible" name="5 - Formatting Output &amp; Speakin" sheetId="12" r:id="rId15"/>
    <sheet state="visible" name="5 - Exercises Formatting Output" sheetId="13" r:id="rId16"/>
    <sheet state="visible" name="6 - Precognition (Thinking Step" sheetId="14" r:id="rId17"/>
    <sheet state="visible" name="6 - Exercises Precognition" sheetId="15" r:id="rId18"/>
    <sheet state="visible" name="7 - Using Examples (Few-Shot Pr" sheetId="16" r:id="rId19"/>
    <sheet state="visible" name="7 - Exercises Using Examples (F" sheetId="17" r:id="rId20"/>
    <sheet state="visible" name="8 - Avoiding Hallucinations" sheetId="18" r:id="rId21"/>
    <sheet state="visible" name="8 - Exercises Avoiding Hallucin" sheetId="19" r:id="rId22"/>
    <sheet state="visible" name="9 - Complex Prompts from Scratc" sheetId="20" r:id="rId23"/>
    <sheet state="visible" name="9 - Complex Prompts for Legal S" sheetId="21" r:id="rId24"/>
    <sheet state="visible" name="9 - Complex Prompts for Financi" sheetId="22" r:id="rId25"/>
    <sheet state="visible" name="9 - Exercises Complex Prompts f" sheetId="23" r:id="rId26"/>
    <sheet state="visible" name="9 - Congratulations &amp; Next Step" sheetId="24" r:id="rId27"/>
    <sheet state="visible" name="Appendix - Chaining Prompts" sheetId="25" r:id="rId28"/>
    <sheet state="visible" name="Appendix - Function Calling" sheetId="26" r:id="rId29"/>
    <sheet state="visible" name="Appendix - Search &amp; Retrieval" sheetId="27" r:id="rId30"/>
  </sheets>
  <definedNames>
    <definedName name="C4ExamplePlayground">'4 - Separating Data and Instruc'!$B$57:$E$57</definedName>
    <definedName name="C3LessonTitle">'3 - Assigning Roles (Role Promp'!$B$1:$E$1</definedName>
    <definedName name="C6Examples">'6 - Precognition (Thinking Step'!$B$11:$D$11</definedName>
    <definedName name="C8ExamplePlayground">'8 - Avoiding Hallucinations'!$B$47:$D$47</definedName>
    <definedName name="C7LessonTitle">'7 - Using Examples (Few-Shot Pr'!$B$1:$E$1</definedName>
    <definedName name="C7ExerciseTitle">'7 - Exercises Using Examples (F'!$B$1:$I$1</definedName>
    <definedName name="C5LessonTitle">'5 - Formatting Output &amp; Speakin'!$B$1:$G$1</definedName>
    <definedName name="C1Lesson">'1 - Basic Prompt Structure'!$B$8:$D$8</definedName>
    <definedName name="C9FinancialLesson">'9 - Complex Prompts for Financi'!$B$7:$F$7</definedName>
    <definedName name="AppFunctionLesson">'Appendix - Function Calling'!$B$8:$E$8</definedName>
    <definedName name="C1Examples">'1 - Basic Prompt Structure'!$B$16:$D$16</definedName>
    <definedName name="C5ExamplePlayground">'5 - Formatting Output &amp; Speakin'!$B$44:$E$44</definedName>
    <definedName name="C7Exercise1">'7 - Exercises Using Examples (F'!$B$6:$E$6</definedName>
    <definedName name="C4Exercise1">'4 - Exercises Separating Data a'!$B$8:$E$8</definedName>
    <definedName name="C9LegalTitle">'9 - Complex Prompts for Legal S'!$B$1:$E$1</definedName>
    <definedName name="C3ExamplePlayground">'3 - Assigning Roles (Role Promp'!$B$45:$D$45</definedName>
    <definedName name="C6Lesson">'6 - Precognition (Thinking Step'!$B$8:$D$8</definedName>
    <definedName name="C2Exercise1">'2 - Exercises Being Clear and D'!$B$8:$D$8</definedName>
    <definedName name="C3Lesson">'3 - Assigning Roles (Role Promp'!$B$8:$D$8</definedName>
    <definedName name="C7Examples">'7 - Using Examples (Few-Shot Pr'!$B$11:$D$11</definedName>
    <definedName name="AppFunctionTitle">'Appendix - Function Calling'!$B$1:$G$1</definedName>
    <definedName name="TutorialTitle">'Tutorial How-To'!$B$1:$F$1</definedName>
    <definedName name="C7ExamplePlayground">'7 - Using Examples (Few-Shot Pr'!$B$41:$D$41</definedName>
    <definedName name="C9CodingTitle">'9 - Exercises Complex Prompts f'!$B$1:$J$1</definedName>
    <definedName name="C8Exercise2">'8 - Exercises Avoiding Hallucin'!$B$18:$D$18</definedName>
    <definedName name="C5Exercise2">'5 - Exercises Formatting Output'!$B$18:$E$18</definedName>
    <definedName name="C9TemplateTitle">'9 - Complex Prompts from Scratc'!$B$1:$H$1</definedName>
    <definedName name="C9FinancialExample">'9 - Complex Prompts for Financi'!$B$10:$F$10</definedName>
    <definedName name="C1ExerciseTitle">'1 - Exercises Basic Prompt Stru'!$B$1:$E$1</definedName>
    <definedName name="C4LessonTitle">'4 - Separating Data and Instruc'!$B$1:$G$1</definedName>
    <definedName name="AppFunctionExamples">#REF!</definedName>
    <definedName name="C5Examples">'5 - Formatting Output &amp; Speakin'!$B$11:$E$11</definedName>
    <definedName name="C8Lesson">'8 - Avoiding Hallucinations'!$B$8:$D$8</definedName>
    <definedName name="C2Exercise2">'2 - Exercises Being Clear and D'!$B$17:$D$17</definedName>
    <definedName name="C8Examples">'8 - Avoiding Hallucinations'!$B$16:$D$16</definedName>
    <definedName name="C5Exercise1">'5 - Exercises Formatting Output'!$B$8:$E$8</definedName>
    <definedName name="C9CongratsTitle">'9 - Congratulations &amp; Next Step'!$B$1:$E$1</definedName>
    <definedName name="C3Exercise1">'3 - Exercises Assigning Roles ('!$B$6:$D$6</definedName>
    <definedName name="C4Exercise2">'4 - Exercises Separating Data a'!$B$17:$E$17</definedName>
    <definedName name="C9Congrats">'9 - Congratulations &amp; Next Step'!$B$6:$D$6</definedName>
    <definedName name="C8Exercise1">'8 - Exercises Avoiding Hallucin'!$B$7:$D$7</definedName>
    <definedName name="C2Examples">'2 - Being Clear and Direct'!$B$13:$D$13</definedName>
    <definedName name="C1LessonTitle">'1 - Basic Prompt Structure'!$B$1:$E$1</definedName>
    <definedName name="IntroTitle">'Intro &amp; Table of Contents'!$B$1:$H$1</definedName>
    <definedName name="C6ExerciseTitle">'6 - Exercises Precognition'!$B$1:$I$1</definedName>
    <definedName name="C9TempLesson">'9 - Complex Prompts from Scratc'!$B$7:$F$7</definedName>
    <definedName name="C4ExerciseTitle">'4 - Exercises Separating Data a'!$B$1:$G$1</definedName>
    <definedName name="C5Lesson">'5 - Formatting Output &amp; Speakin'!$B$8:$E$8</definedName>
    <definedName name="C5ExerciseTitle">'5 - Exercises Formatting Output'!$B$1:$I$1</definedName>
    <definedName name="C3ExerciseTitle">'3 - Exercises Assigning Roles ('!$B$1:$E$1</definedName>
    <definedName name="C2Exercise3">'2 - Exercises Being Clear and D'!$B$26:$D$26</definedName>
    <definedName name="C9LegalLesson">'9 - Complex Prompts for Legal S'!$B$7:$F$7</definedName>
    <definedName name="C6Exercise2">'6 - Exercises Precognition'!$B$48:$E$48</definedName>
    <definedName name="C8LessonTitle">'8 - Avoiding Hallucinations'!$B$1:$E$1</definedName>
    <definedName name="C4Lesson">'4 - Separating Data and Instruc'!$B$8:$E$8</definedName>
    <definedName name="TutorialHowToTitle">#REF!</definedName>
    <definedName name="C7Lesson">'7 - Using Examples (Few-Shot Pr'!$B$8:$D$8</definedName>
    <definedName name="AppChainingTitle">'Appendix - Chaining Prompts'!$B$1:$G$1</definedName>
    <definedName name="C6Exercise1">'6 - Exercises Precognition'!$B$7:$E$7</definedName>
    <definedName name="C8ExerciseTitle">'8 - Exercises Avoiding Hallucin'!$B$1:$E$1</definedName>
    <definedName name="C9CodingExercise">'9 - Exercises Complex Prompts f'!$B$6:$F$6</definedName>
    <definedName localSheetId="0" name="QuickStartTitle">'Tutorial How-To'!$B$1:$F$1</definedName>
    <definedName name="AppFunctionPlayground">#REF!</definedName>
    <definedName name="C2LessonTitle">'2 - Being Clear and Direct'!$B$1:$E$1</definedName>
    <definedName name="C5Exercise3">'5 - Exercises Formatting Output'!$B$28:$E$28</definedName>
    <definedName name="C9LegalExample">'9 - Complex Prompts for Legal S'!$B$10:$F$10</definedName>
    <definedName name="C6LessonTitle">'6 - Precognition (Thinking Step'!$B$1:$E$1</definedName>
    <definedName name="C9CodingLesson">#REF!</definedName>
    <definedName name="C1ExamplePlayground">'1 - Basic Prompt Structure'!$B$66:$D$66</definedName>
    <definedName name="C2Lesson">'2 - Being Clear and Direct'!$B$8:$D$8</definedName>
    <definedName name="C1Exercise2">'1 - Exercises Basic Prompt Stru'!$B$18:$D$18</definedName>
    <definedName name="App1Title">'Appendix - Search &amp; Retrieval'!$B$1:$E$1</definedName>
    <definedName name="C2ExerciseTitle">'2 - Exercises Being Clear and D'!$B$1:$E$1</definedName>
    <definedName name="C10TemplateExample">'9 - Complex Prompts from Scratc'!$B$10:$F$10</definedName>
    <definedName name="C1Exercise1">'1 - Exercises Basic Prompt Stru'!$B$7:$D$7</definedName>
    <definedName name="C4Examples">'4 - Separating Data and Instruc'!$B$11:$E$11</definedName>
    <definedName name="C9FinancialTitle">'9 - Complex Prompts for Financi'!$B$1:$J$1</definedName>
    <definedName name="C2ExamplePlayground">'2 - Being Clear and Direct'!$B$38:$D$38</definedName>
    <definedName name="C4Exercise3">'4 - Exercises Separating Data a'!$B$28:$E$28</definedName>
    <definedName name="C9TempLessonTitle">'9 - Complex Prompts from Scratc'!$B$1:$F$1</definedName>
    <definedName name="C3Examples">'3 - Assigning Roles (Role Promp'!$B$11:$D$11</definedName>
    <definedName name="App1Search">'Appendix - Search &amp; Retrieval'!$B$6:$D$6</definedName>
    <definedName name="C6ExamplePlayground">'6 - Precognition (Thinking Step'!$B$62:$D$62</definedName>
  </definedNames>
  <calcPr/>
</workbook>
</file>

<file path=xl/sharedStrings.xml><?xml version="1.0" encoding="utf-8"?>
<sst xmlns="http://schemas.openxmlformats.org/spreadsheetml/2006/main" count="1543" uniqueCount="587">
  <si>
    <t>Tutorial How-To</t>
  </si>
  <si>
    <r>
      <rPr>
        <sz val="14.0"/>
      </rPr>
      <t>This tutorial</t>
    </r>
    <r>
      <rPr>
        <color rgb="FFFF0000"/>
        <sz val="14.0"/>
      </rPr>
      <t xml:space="preserve"> </t>
    </r>
    <r>
      <rPr>
        <b/>
        <color rgb="FFFF0000"/>
        <sz val="14.0"/>
      </rPr>
      <t>requires an API key</t>
    </r>
    <r>
      <rPr>
        <color rgb="FFFF0000"/>
        <sz val="14.0"/>
      </rPr>
      <t xml:space="preserve"> </t>
    </r>
    <r>
      <rPr>
        <sz val="14.0"/>
      </rPr>
      <t xml:space="preserve">for interaction. </t>
    </r>
    <r>
      <rPr>
        <sz val="11.0"/>
      </rPr>
      <t xml:space="preserve">
If you don't have an API key, you can sign up for one via the </t>
    </r>
    <r>
      <rPr>
        <color rgb="FF1155CC"/>
        <sz val="11.0"/>
        <u/>
      </rPr>
      <t>Anthropic Console</t>
    </r>
    <r>
      <rPr>
        <sz val="11.0"/>
      </rPr>
      <t xml:space="preserve"> or view our </t>
    </r>
    <r>
      <rPr>
        <color rgb="FF1155CC"/>
        <sz val="11.0"/>
        <u/>
      </rPr>
      <t>static tutorial answer key</t>
    </r>
    <r>
      <rPr>
        <sz val="11.0"/>
      </rPr>
      <t xml:space="preserve"> instead.</t>
    </r>
  </si>
  <si>
    <t>How to get started</t>
  </si>
  <si>
    <r>
      <rPr>
        <rFont val="Arial"/>
        <color theme="1"/>
        <sz val="11.0"/>
      </rPr>
      <t xml:space="preserve">1. </t>
    </r>
    <r>
      <rPr>
        <rFont val="Arial"/>
        <b/>
        <color theme="1"/>
        <sz val="11.0"/>
        <u/>
      </rPr>
      <t>Make a copy of this sheet</t>
    </r>
    <r>
      <rPr>
        <rFont val="Arial"/>
        <color theme="1"/>
        <sz val="11.0"/>
      </rPr>
      <t xml:space="preserve"> and save it to your personal Google Drive
2. Install the Claude for Sheets extension (</t>
    </r>
    <r>
      <rPr>
        <rFont val="Arial"/>
        <color theme="1"/>
        <sz val="11.0"/>
        <u/>
      </rPr>
      <t>it may already be installed</t>
    </r>
    <r>
      <rPr>
        <rFont val="Arial"/>
        <color theme="1"/>
        <sz val="11.0"/>
      </rPr>
      <t>, in which case, skip to step 3)</t>
    </r>
  </si>
  <si>
    <r>
      <rPr>
        <sz val="11.0"/>
      </rPr>
      <t xml:space="preserve">a. Go to the </t>
    </r>
    <r>
      <rPr>
        <color rgb="FF1155CC"/>
        <sz val="11.0"/>
        <u/>
      </rPr>
      <t>Claude for Sheets extension listing</t>
    </r>
  </si>
  <si>
    <r>
      <rPr>
        <rFont val="Arial"/>
        <color theme="1"/>
        <sz val="11.0"/>
      </rPr>
      <t xml:space="preserve">b. Click the </t>
    </r>
    <r>
      <rPr>
        <rFont val="Arial"/>
        <color theme="1"/>
        <sz val="11.0"/>
        <u/>
      </rPr>
      <t>blue install button</t>
    </r>
  </si>
  <si>
    <t xml:space="preserve">
3. Enable use of the Claude for Sheets extension on this document:</t>
  </si>
  <si>
    <r>
      <rPr>
        <rFont val="Arial"/>
        <color theme="1"/>
        <sz val="11.0"/>
      </rPr>
      <t xml:space="preserve">a. In the </t>
    </r>
    <r>
      <rPr>
        <rFont val="Arial"/>
        <color theme="1"/>
        <sz val="11.0"/>
        <u/>
      </rPr>
      <t>Extensions</t>
    </r>
    <r>
      <rPr>
        <rFont val="Arial"/>
        <color theme="1"/>
        <sz val="11.0"/>
      </rPr>
      <t xml:space="preserve"> menu in the toolbar, go to </t>
    </r>
    <r>
      <rPr>
        <rFont val="Arial"/>
        <color theme="1"/>
        <sz val="11.0"/>
        <u/>
      </rPr>
      <t>Add-ons</t>
    </r>
    <r>
      <rPr>
        <rFont val="Arial"/>
        <color theme="1"/>
        <sz val="11.0"/>
      </rPr>
      <t xml:space="preserve"> &gt; </t>
    </r>
    <r>
      <rPr>
        <rFont val="Arial"/>
        <color theme="1"/>
        <sz val="11.0"/>
        <u/>
      </rPr>
      <t>Manage add-ons</t>
    </r>
  </si>
  <si>
    <r>
      <rPr>
        <rFont val="Arial"/>
        <color theme="1"/>
        <sz val="11.0"/>
      </rPr>
      <t xml:space="preserve">b. Click the </t>
    </r>
    <r>
      <rPr>
        <rFont val="Arial"/>
        <color theme="1"/>
        <sz val="11.0"/>
        <u/>
      </rPr>
      <t>kebab / triple dot options menu on the top right corner</t>
    </r>
    <r>
      <rPr>
        <rFont val="Arial"/>
        <color theme="1"/>
        <sz val="11.0"/>
      </rPr>
      <t xml:space="preserve"> of the Claude for Sheets extension</t>
    </r>
  </si>
  <si>
    <r>
      <rPr>
        <rFont val="Arial"/>
        <color theme="1"/>
        <sz val="11.0"/>
      </rPr>
      <t xml:space="preserve">c. Make sure </t>
    </r>
    <r>
      <rPr>
        <rFont val="Arial"/>
        <color theme="1"/>
        <sz val="11.0"/>
        <u/>
      </rPr>
      <t>"Use in this document" is checked</t>
    </r>
  </si>
  <si>
    <t>4. Add your API key</t>
  </si>
  <si>
    <r>
      <rPr>
        <sz val="11.0"/>
      </rPr>
      <t xml:space="preserve">a. Acquire your unique </t>
    </r>
    <r>
      <rPr>
        <sz val="11.0"/>
        <u/>
      </rPr>
      <t>Anthropic API key</t>
    </r>
    <r>
      <rPr>
        <sz val="11.0"/>
      </rPr>
      <t xml:space="preserve"> following </t>
    </r>
    <r>
      <rPr>
        <color rgb="FF1155CC"/>
        <sz val="11.0"/>
      </rPr>
      <t>these instructions</t>
    </r>
  </si>
  <si>
    <r>
      <rPr>
        <rFont val="Arial"/>
        <color theme="1"/>
        <sz val="11.0"/>
      </rPr>
      <t xml:space="preserve">b. Enable your extension by entering your API key at </t>
    </r>
    <r>
      <rPr>
        <rFont val="Arial"/>
        <color theme="1"/>
        <sz val="11.0"/>
        <u/>
      </rPr>
      <t>Extensions</t>
    </r>
    <r>
      <rPr>
        <rFont val="Arial"/>
        <color theme="1"/>
        <sz val="11.0"/>
      </rPr>
      <t xml:space="preserve"> &gt; </t>
    </r>
    <r>
      <rPr>
        <rFont val="Arial"/>
        <color theme="1"/>
        <sz val="11.0"/>
        <u/>
      </rPr>
      <t>Claude for Sheets™</t>
    </r>
    <r>
      <rPr>
        <rFont val="Arial"/>
        <color theme="1"/>
        <sz val="11.0"/>
      </rPr>
      <t xml:space="preserve"> &gt; </t>
    </r>
    <r>
      <rPr>
        <rFont val="Arial"/>
        <color theme="1"/>
        <sz val="11.0"/>
        <u/>
      </rPr>
      <t>Enter your Anthropic API Key</t>
    </r>
  </si>
  <si>
    <t>Usage Notes &amp; Tips 💡</t>
  </si>
  <si>
    <r>
      <rPr>
        <rFont val="Arial"/>
        <color theme="1"/>
        <sz val="11.0"/>
      </rPr>
      <t xml:space="preserve">This course uses Claude 3 Haiku with temperature 0. We will talk more about temperature later in the course. For now, it's enough to understand that these settings yield faster and more deterministic results. All prompt engineering techniques in this course also apply to other Claude models.
To </t>
    </r>
    <r>
      <rPr>
        <rFont val="Arial"/>
        <color theme="1"/>
        <sz val="11.0"/>
        <u/>
      </rPr>
      <t>add a new line in a cell</t>
    </r>
    <r>
      <rPr>
        <rFont val="Arial"/>
        <color theme="1"/>
        <sz val="11.0"/>
      </rPr>
      <t>, do the following while editing a cell:</t>
    </r>
  </si>
  <si>
    <r>
      <rPr>
        <rFont val="Arial"/>
        <b/>
        <color theme="1"/>
      </rPr>
      <t>Mac:</t>
    </r>
    <r>
      <rPr>
        <rFont val="Arial"/>
        <color theme="1"/>
      </rPr>
      <t xml:space="preserve"> Cmd + Enter</t>
    </r>
  </si>
  <si>
    <r>
      <rPr>
        <rFont val="Arial"/>
        <b/>
        <color theme="1"/>
      </rPr>
      <t xml:space="preserve">Windows: </t>
    </r>
    <r>
      <rPr>
        <rFont val="Arial"/>
        <b val="0"/>
        <color theme="1"/>
      </rPr>
      <t>Alt + Enter</t>
    </r>
  </si>
  <si>
    <r>
      <rPr>
        <rFont val="Arial"/>
        <color theme="1"/>
        <sz val="11.0"/>
      </rPr>
      <t xml:space="preserve">To </t>
    </r>
    <r>
      <rPr>
        <rFont val="Arial"/>
        <color theme="1"/>
        <sz val="11.0"/>
        <u/>
      </rPr>
      <t>navigate to other pages</t>
    </r>
    <r>
      <rPr>
        <rFont val="Arial"/>
        <color theme="1"/>
        <sz val="11.0"/>
      </rPr>
      <t>:</t>
    </r>
  </si>
  <si>
    <r>
      <rPr>
        <rFont val="Arial"/>
        <color theme="1"/>
        <sz val="11.0"/>
      </rPr>
      <t xml:space="preserve">1. Click on the </t>
    </r>
    <r>
      <rPr>
        <rFont val="Arial"/>
        <color rgb="FF999999"/>
        <sz val="11.0"/>
      </rPr>
      <t>gray navigational links</t>
    </r>
    <r>
      <rPr>
        <rFont val="Arial"/>
        <color theme="1"/>
        <sz val="11.0"/>
      </rPr>
      <t xml:space="preserve"> at the bottom of each page or at the top right corner of each page section</t>
    </r>
  </si>
  <si>
    <r>
      <rPr>
        <rFont val="Arial"/>
        <color theme="1"/>
        <sz val="11.0"/>
      </rPr>
      <t xml:space="preserve">2. Click on the </t>
    </r>
    <r>
      <rPr>
        <rFont val="Arial"/>
        <color rgb="FF1155CC"/>
        <sz val="11.0"/>
      </rPr>
      <t>blue-linked pop-up</t>
    </r>
  </si>
  <si>
    <r>
      <rPr>
        <rFont val="Arial"/>
        <color theme="1"/>
        <sz val="11.0"/>
      </rPr>
      <t xml:space="preserve">When you </t>
    </r>
    <r>
      <rPr>
        <rFont val="Arial"/>
        <color theme="1"/>
        <sz val="11.0"/>
        <u/>
      </rPr>
      <t>arrive at the correct answer</t>
    </r>
    <r>
      <rPr>
        <rFont val="Arial"/>
        <color theme="1"/>
        <sz val="11.0"/>
      </rPr>
      <t xml:space="preserve">, Claude's response cell will turn </t>
    </r>
    <r>
      <rPr>
        <rFont val="Arial"/>
        <b/>
        <color rgb="FF34A853"/>
        <sz val="11.0"/>
      </rPr>
      <t>GREEN</t>
    </r>
    <r>
      <rPr>
        <rFont val="Arial"/>
        <color theme="1"/>
        <sz val="11.0"/>
      </rPr>
      <t>.</t>
    </r>
  </si>
  <si>
    <t>Feel free to make more copies of this sheet as needed.</t>
  </si>
  <si>
    <t>Claude model:</t>
  </si>
  <si>
    <t>claude-3-haiku-20240307</t>
  </si>
  <si>
    <t>Introduction &amp; Table of Contents →</t>
  </si>
  <si>
    <t>⚠️ SHEET RESERVED FOR =CLAUDE... FUNCTIONS. DO NOT EDIT! ⚠️</t>
  </si>
  <si>
    <t>Key</t>
  </si>
  <si>
    <t>Value</t>
  </si>
  <si>
    <t>Expiration</t>
  </si>
  <si>
    <t>rywJcnr4ZQuS7qYU87K9ZtZSMmKa%8%HmjHOt3uJFb4=</t>
  </si>
  <si>
    <t>1. Laura Simmons [ORGANIC FARMER]
2. Kevin Alvarez [DANCE INSTRUCTOR]
3. Rachel O'Connor [VOLUNTEER]
&lt;/individuals&gt;</t>
  </si>
  <si>
    <t>2024-04-11T18:21:50.640Z</t>
  </si>
  <si>
    <t>ICTqpgwSnlFBH6YNJTlJZ%K5hPJidVEUgq1d6ggGToA=</t>
  </si>
  <si>
    <t>The career that typically requires more than a bachelor's degree between the two is social worker. While a bachelor's degree in sociology can provide a good foundation, most social worker roles require a master's degree in social work (MSW) for licensure and advanced practice. The human resources specialist role is more commonly attainable with just a bachelor's degree in sociology or a related field.&lt;/response&gt;</t>
  </si>
  <si>
    <t>WJhH%OHNVMQXQqTB03Rpp66Cqu3ItAGhum4E3+bralQ=</t>
  </si>
  <si>
    <t>Based on the content and tone of the email, I would classify it as a "blue" email. The email expresses confusion, uncertainty, and a request for help, which are typically associated with a "blue" emotional state or mindset.
The phrases "How did I get here" and "I am not good with computer" suggest the person is feeling lost, overwhelmed, or frustrated with the situation they are in. The use of "Halp" also conveys a sense of urgency and a need for assistance, which is characteristic of a "blue" email.
Overall, the email conveys a sense of distress or difficulty, which aligns more with the "blue" classification rather than the more positive and confident "green" classification.</t>
  </si>
  <si>
    <t>m5Livh9wTl0WJ1mmfDnWWZRQPPTR5n5cob08fKUmOXk=</t>
  </si>
  <si>
    <t>Based on the content of the email, this would be classified as a "blue" email. The question about using a Mixmaster 4000 to mix paint suggests this is not a typical household task, but rather something more industrial or specialized. Blue emails generally involve more technical or work-related topics, rather than everyday personal or household matters.</t>
  </si>
  <si>
    <t>!eb5ZHntwIVl7bP96oz3yxzsNTvKVV8b5qjgazkR1oo=</t>
  </si>
  <si>
    <t>Based on the tone and content of the email, this would be classified as a "blue" email. The email is written in all capital letters, which conveys a sense of frustration and urgency. The language used, such as "WTF is going on???" also suggests an angry or upset tone. This type of email would typically be considered a "blue" email, indicating a negative emotional state and the need for a more empathetic and understanding response.</t>
  </si>
  <si>
    <t>xCJnkl%WGC2clpmNpbuw1Zw59fDobV56EvVCKL4uvec=</t>
  </si>
  <si>
    <t>Based on the content of the email, this would be classified as a "blue" email. The email describes a technical issue with a product, indicating a problem that needs to be addressed. This type of email is typically considered a "blue" email, as it is focused on a specific problem or request for assistance, rather than a general inquiry or positive feedback (which would be considered a "green" email).</t>
  </si>
  <si>
    <t>bCmzQaGOwM9dJSv01L0ZOPQaQzxAIHx4oKB%mVYyDEQ=</t>
  </si>
  <si>
    <t>Hi there! How can I assist you today?</t>
  </si>
  <si>
    <t>Welcome to the Prompt Engineering Interactive Tutorial</t>
  </si>
  <si>
    <t>Course introduction and goals</t>
  </si>
  <si>
    <r>
      <rPr>
        <rFont val="Arial"/>
        <color theme="1"/>
        <sz val="11.0"/>
      </rPr>
      <t xml:space="preserve">This course is intended to provide you with a comprehensive step-by-step understanding of how to engineer optimal prompts within Claude.
</t>
    </r>
    <r>
      <rPr>
        <rFont val="Arial"/>
        <b/>
        <color theme="1"/>
        <sz val="12.0"/>
      </rPr>
      <t>After completing this course, you will be able to:</t>
    </r>
    <r>
      <rPr>
        <rFont val="Arial"/>
        <color theme="1"/>
        <sz val="11.0"/>
      </rPr>
      <t xml:space="preserve">
</t>
    </r>
    <r>
      <rPr>
        <rFont val="Arial"/>
        <color rgb="FF34A853"/>
        <sz val="11.0"/>
      </rPr>
      <t>✓</t>
    </r>
    <r>
      <rPr>
        <rFont val="Arial"/>
        <color theme="1"/>
        <sz val="11.0"/>
      </rPr>
      <t xml:space="preserve"> Master the basic structure of a good prompt
</t>
    </r>
    <r>
      <rPr>
        <rFont val="Arial"/>
        <color rgb="FF34A853"/>
        <sz val="11.0"/>
      </rPr>
      <t>✓</t>
    </r>
    <r>
      <rPr>
        <rFont val="Arial"/>
        <color theme="1"/>
        <sz val="11.0"/>
      </rPr>
      <t xml:space="preserve"> Recognize common failure modes and learn the '80/20' techniques to address them
</t>
    </r>
    <r>
      <rPr>
        <rFont val="Arial"/>
        <color rgb="FF34A853"/>
        <sz val="11.0"/>
      </rPr>
      <t>✓</t>
    </r>
    <r>
      <rPr>
        <rFont val="Arial"/>
        <color theme="1"/>
        <sz val="11.0"/>
      </rPr>
      <t xml:space="preserve"> Understand Claude's strengths and weaknesses
</t>
    </r>
    <r>
      <rPr>
        <rFont val="Arial"/>
        <color rgb="FF34A853"/>
        <sz val="11.0"/>
      </rPr>
      <t>✓</t>
    </r>
    <r>
      <rPr>
        <rFont val="Arial"/>
        <color theme="1"/>
        <sz val="11.0"/>
      </rPr>
      <t xml:space="preserve"> Build strong prompts from scratch for common use cases</t>
    </r>
  </si>
  <si>
    <t>Course structure and content</t>
  </si>
  <si>
    <r>
      <rPr>
        <sz val="11.0"/>
      </rPr>
      <t xml:space="preserve">This course is structured to allow you many chances to practice writing and troubleshooting prompts yourself. The course is broken up into </t>
    </r>
    <r>
      <rPr>
        <b/>
        <sz val="11.0"/>
      </rPr>
      <t>9 chapters with accompanying exercises</t>
    </r>
    <r>
      <rPr>
        <sz val="11.0"/>
      </rPr>
      <t xml:space="preserve">, as well as an appendix of even more advanced methods. It is intended for you to </t>
    </r>
    <r>
      <rPr>
        <b/>
        <sz val="11.0"/>
      </rPr>
      <t>work through the course in chapter order</t>
    </r>
    <r>
      <rPr>
        <sz val="11.0"/>
      </rPr>
      <t xml:space="preserve">.
</t>
    </r>
    <r>
      <rPr>
        <b/>
        <sz val="11.0"/>
      </rPr>
      <t>Each lesson has an "Example Playground" area</t>
    </r>
    <r>
      <rPr>
        <sz val="11.0"/>
      </rPr>
      <t xml:space="preserve"> at the bottom where you are free to experiment with the examples in the lesson and see for yourself how changing prompts can change Claude's responses. There is also an </t>
    </r>
    <r>
      <rPr>
        <color rgb="FF1155CC"/>
        <sz val="11.0"/>
        <u/>
      </rPr>
      <t>answer key</t>
    </r>
    <r>
      <rPr>
        <sz val="11.0"/>
      </rPr>
      <t xml:space="preserve">.
</t>
    </r>
    <r>
      <rPr>
        <b/>
        <sz val="11.0"/>
      </rPr>
      <t>Note:</t>
    </r>
    <r>
      <rPr>
        <sz val="11.0"/>
      </rPr>
      <t xml:space="preserve"> This tutorial uses our smallest, fastest, and cheapest model, Claude 3 Haiku. We have </t>
    </r>
    <r>
      <rPr>
        <color rgb="FF1155CC"/>
        <sz val="11.0"/>
        <u/>
      </rPr>
      <t>two other models</t>
    </r>
    <r>
      <rPr>
        <sz val="11.0"/>
      </rPr>
      <t xml:space="preserve">, Claude 3 Sonnet and Claude 3 Opus, which are more intelligent than Haiku, with Opus being the most intelligent.
</t>
    </r>
    <r>
      <rPr>
        <i/>
        <sz val="11.0"/>
      </rPr>
      <t xml:space="preserve">This tutorial also exists as a </t>
    </r>
    <r>
      <rPr>
        <i/>
        <color rgb="FF1155CC"/>
        <sz val="11.0"/>
        <u/>
      </rPr>
      <t>series of python notebooks</t>
    </r>
    <r>
      <rPr>
        <i/>
        <sz val="11.0"/>
      </rPr>
      <t>, although we recommend using this spreadsheet as it is more user-friendly.</t>
    </r>
    <r>
      <rPr>
        <sz val="11.0"/>
      </rPr>
      <t xml:space="preserve">
</t>
    </r>
    <r>
      <rPr>
        <color rgb="FFFF0000"/>
        <sz val="11.0"/>
        <u/>
      </rPr>
      <t>When you are ready to begin, click on the Chapter 1 Lesson to proceed.</t>
    </r>
  </si>
  <si>
    <t>Admin</t>
  </si>
  <si>
    <t>Get Started Here</t>
  </si>
  <si>
    <t>Beginner</t>
  </si>
  <si>
    <t>Chapter 1: Basic Prompt Structure</t>
  </si>
  <si>
    <t>Lesson</t>
  </si>
  <si>
    <t>Exercises</t>
  </si>
  <si>
    <t>Chapter 2: Being Clear and Direct</t>
  </si>
  <si>
    <t>Chapter 3: Assigning Roles</t>
  </si>
  <si>
    <t>Intermediate</t>
  </si>
  <si>
    <t>Chapter 4: Separating Data from Instructions</t>
  </si>
  <si>
    <t>Chapter 5: Formatting Output &amp; Speaking for Claude</t>
  </si>
  <si>
    <t>Chapter 6: Precognition (Thinking Step by Step)</t>
  </si>
  <si>
    <t>Chapter 7: Using Examples</t>
  </si>
  <si>
    <t>Advanced</t>
  </si>
  <si>
    <t>Chapter 8: Avoiding Hallucinations</t>
  </si>
  <si>
    <t>Chapter 9: Building Complex Prompts (Industry Use Cases)</t>
  </si>
  <si>
    <t>Complex Prompts from Scratch - Chatbot</t>
  </si>
  <si>
    <t>Complex Prompts for Legal Services</t>
  </si>
  <si>
    <t>Exercise: Complex Prompts for Financial Services</t>
  </si>
  <si>
    <t>Exercise: Complex Prompts for Coding</t>
  </si>
  <si>
    <t>Congratulations &amp; Next Steps</t>
  </si>
  <si>
    <t>Appendix: Beyond Standard Prompting</t>
  </si>
  <si>
    <t>Chaining Prompts</t>
  </si>
  <si>
    <t>Function Calling</t>
  </si>
  <si>
    <t>Search &amp; Retrieval</t>
  </si>
  <si>
    <t>← Tutorial How-To</t>
  </si>
  <si>
    <t>Chapter 1: Basic Prompt Structure →</t>
  </si>
  <si>
    <t>Page Contents</t>
  </si>
  <si>
    <t>Examples</t>
  </si>
  <si>
    <t> </t>
  </si>
  <si>
    <t>Example Playground</t>
  </si>
  <si>
    <t>Back to top ↑</t>
  </si>
  <si>
    <r>
      <rPr>
        <color rgb="FF1F1F1F"/>
        <sz val="11.0"/>
      </rPr>
      <t xml:space="preserve">The Claude for Sheets extension offers </t>
    </r>
    <r>
      <rPr>
        <color rgb="FF1155CC"/>
        <sz val="11.0"/>
        <u/>
      </rPr>
      <t>several functions</t>
    </r>
    <r>
      <rPr>
        <color rgb="FF1F1F1F"/>
        <sz val="11.0"/>
      </rPr>
      <t xml:space="preserve"> you can use to call Claude. One such function is </t>
    </r>
    <r>
      <rPr>
        <b/>
        <color rgb="FF1F1F1F"/>
        <sz val="11.0"/>
      </rPr>
      <t>CLAUDEMESSAGES()</t>
    </r>
    <r>
      <rPr>
        <color rgb="FF1F1F1F"/>
        <sz val="11.0"/>
      </rPr>
      <t xml:space="preserve">, which is built to reflect the </t>
    </r>
    <r>
      <rPr>
        <color rgb="FF1155CC"/>
        <sz val="11.0"/>
        <u/>
      </rPr>
      <t>Messages API</t>
    </r>
    <r>
      <rPr>
        <color rgb="FF1F1F1F"/>
        <sz val="11.0"/>
      </rPr>
      <t xml:space="preserve"> structure.</t>
    </r>
  </si>
  <si>
    <r>
      <rPr>
        <rFont val="Arial"/>
        <b/>
        <color theme="1"/>
        <sz val="11.0"/>
      </rPr>
      <t>CLAUDEMESSAGES()</t>
    </r>
    <r>
      <rPr>
        <rFont val="Arial"/>
        <color theme="1"/>
        <sz val="11.0"/>
      </rPr>
      <t xml:space="preserve"> can take several parameters, in the following order:</t>
    </r>
  </si>
  <si>
    <t>1. Your prompt, in quotation marks</t>
  </si>
  <si>
    <t>2. The model version, in quotation marks</t>
  </si>
  <si>
    <r>
      <rPr>
        <sz val="11.0"/>
      </rPr>
      <t xml:space="preserve">3. Any </t>
    </r>
    <r>
      <rPr>
        <color rgb="FF1155CC"/>
        <sz val="11.0"/>
        <u/>
      </rPr>
      <t>optional additional parameters</t>
    </r>
    <r>
      <rPr>
        <sz val="11.0"/>
      </rPr>
      <t>, such as temperature, system prompt, max tokens, etc.</t>
    </r>
  </si>
  <si>
    <r>
      <rPr>
        <rFont val="Arial"/>
        <b/>
        <color theme="1"/>
        <sz val="11.0"/>
      </rPr>
      <t xml:space="preserve">Note: </t>
    </r>
    <r>
      <rPr>
        <rFont val="Arial"/>
        <color theme="1"/>
        <sz val="11.0"/>
      </rPr>
      <t>Temperature correlates to the degree of variability in Claude's answer. For these exercises, we have set the "temperature" to 0. In Chapter 8, we'll dive deeper into temperature.</t>
    </r>
  </si>
  <si>
    <r>
      <rPr>
        <rFont val="Arial"/>
        <color theme="1"/>
        <sz val="11.0"/>
      </rPr>
      <t xml:space="preserve">Anywhere in this sheet, you can </t>
    </r>
    <r>
      <rPr>
        <rFont val="Arial"/>
        <color theme="1"/>
        <sz val="11.0"/>
        <u/>
      </rPr>
      <t xml:space="preserve">call Claude by using the </t>
    </r>
    <r>
      <rPr>
        <rFont val="Arial"/>
        <b/>
        <color theme="1"/>
        <sz val="11.0"/>
        <u/>
      </rPr>
      <t xml:space="preserve">CLAUDEMESSAGES() </t>
    </r>
    <r>
      <rPr>
        <rFont val="Arial"/>
        <color theme="1"/>
        <sz val="11.0"/>
        <u/>
      </rPr>
      <t>formula</t>
    </r>
    <r>
      <rPr>
        <rFont val="Arial"/>
        <color theme="1"/>
        <sz val="11.0"/>
      </rPr>
      <t xml:space="preserve">. The basic formula is structured like this: </t>
    </r>
    <r>
      <rPr>
        <rFont val="Courier New"/>
        <b/>
        <color theme="1"/>
        <sz val="11.0"/>
      </rPr>
      <t>=CLAUDEMESSAGES(</t>
    </r>
    <r>
      <rPr>
        <rFont val="Courier New"/>
        <b/>
        <color rgb="FF34A853"/>
        <sz val="11.0"/>
      </rPr>
      <t>"{PROMPT}"</t>
    </r>
    <r>
      <rPr>
        <rFont val="Courier New"/>
        <b/>
        <color theme="1"/>
        <sz val="11.0"/>
      </rPr>
      <t xml:space="preserve">, </t>
    </r>
    <r>
      <rPr>
        <rFont val="Courier New"/>
        <b/>
        <color rgb="FF34A853"/>
        <sz val="11.0"/>
      </rPr>
      <t>"{MODEL_VERSION}"</t>
    </r>
    <r>
      <rPr>
        <rFont val="Courier New"/>
        <b/>
        <color theme="1"/>
        <sz val="11.0"/>
      </rPr>
      <t>,</t>
    </r>
    <r>
      <rPr>
        <rFont val="Courier New"/>
        <b/>
        <color rgb="FF34A853"/>
        <sz val="11.0"/>
      </rPr>
      <t xml:space="preserve"> </t>
    </r>
    <r>
      <rPr>
        <rFont val="Courier New"/>
        <b/>
        <color theme="1"/>
        <sz val="11.0"/>
      </rPr>
      <t>"system"</t>
    </r>
    <r>
      <rPr>
        <rFont val="Courier New"/>
        <b/>
        <color rgb="FF34A853"/>
        <sz val="11.0"/>
      </rPr>
      <t>, "{SYSTEM_PROMPT}"</t>
    </r>
    <r>
      <rPr>
        <rFont val="Courier New"/>
        <b/>
        <color theme="1"/>
        <sz val="11.0"/>
      </rPr>
      <t xml:space="preserve">) 
</t>
    </r>
    <r>
      <rPr>
        <rFont val="Arial"/>
        <color theme="1"/>
        <sz val="11.0"/>
      </rPr>
      <t xml:space="preserve">For example, to call Claude 3 Haiku with a prompt located in cell </t>
    </r>
    <r>
      <rPr>
        <rFont val="Arial"/>
        <b/>
        <color theme="1"/>
        <sz val="11.0"/>
      </rPr>
      <t>A1</t>
    </r>
    <r>
      <rPr>
        <rFont val="Arial"/>
        <color theme="1"/>
        <sz val="11.0"/>
      </rPr>
      <t xml:space="preserve">, you would write: </t>
    </r>
    <r>
      <rPr>
        <rFont val="Courier New"/>
        <b/>
        <color theme="1"/>
        <sz val="11.0"/>
      </rPr>
      <t>=CLAUDEMESSAGES(</t>
    </r>
    <r>
      <rPr>
        <rFont val="Courier New"/>
        <b/>
        <color rgb="FFE69138"/>
        <sz val="11.0"/>
      </rPr>
      <t>A1</t>
    </r>
    <r>
      <rPr>
        <rFont val="Courier New"/>
        <b/>
        <color theme="1"/>
        <sz val="11.0"/>
      </rPr>
      <t xml:space="preserve">, </t>
    </r>
    <r>
      <rPr>
        <rFont val="Courier New"/>
        <b/>
        <color rgb="FF34A853"/>
        <sz val="11.0"/>
      </rPr>
      <t>"claude-3-haiku-20240307"</t>
    </r>
    <r>
      <rPr>
        <rFont val="Courier New"/>
        <b/>
        <color theme="1"/>
        <sz val="11.0"/>
      </rPr>
      <t>,</t>
    </r>
    <r>
      <rPr>
        <rFont val="Courier New"/>
        <b/>
        <color rgb="FF34A853"/>
        <sz val="11.0"/>
      </rPr>
      <t xml:space="preserve"> </t>
    </r>
    <r>
      <rPr>
        <rFont val="Courier New"/>
        <b/>
        <color theme="1"/>
        <sz val="11.0"/>
      </rPr>
      <t>"system"</t>
    </r>
    <r>
      <rPr>
        <rFont val="Courier New"/>
        <b/>
        <color rgb="FF34A853"/>
        <sz val="11.0"/>
      </rPr>
      <t>, "Respond only in Esperanto"</t>
    </r>
    <r>
      <rPr>
        <rFont val="Courier New"/>
        <b/>
        <color theme="1"/>
        <sz val="11.0"/>
      </rPr>
      <t>)</t>
    </r>
  </si>
  <si>
    <t>How does the CLAUDEMESSAGES() structure correlate with the Messages API structure? Let's look a few examples of prompts sent to CLAUDEMESSAGES() along with the underlying formula.</t>
  </si>
  <si>
    <r>
      <rPr>
        <rFont val="Arial"/>
        <color theme="1"/>
        <sz val="11.0"/>
      </rPr>
      <t xml:space="preserve">Let's take a look at how Claude responds to some </t>
    </r>
    <r>
      <rPr>
        <rFont val="Arial"/>
        <color theme="1"/>
        <sz val="11.0"/>
        <u/>
      </rPr>
      <t>correctly-formatted prompts</t>
    </r>
    <r>
      <rPr>
        <rFont val="Arial"/>
        <color theme="1"/>
        <sz val="11.0"/>
      </rPr>
      <t>. Don't worry about how the answers are being generated.</t>
    </r>
  </si>
  <si>
    <t>Prompt</t>
  </si>
  <si>
    <t>Claude's Response</t>
  </si>
  <si>
    <t>User: Hi Claude, how are you?</t>
  </si>
  <si>
    <t>➤</t>
  </si>
  <si>
    <t>User: Can you tell me the color of the ocean?</t>
  </si>
  <si>
    <t>User: What year was Celine Dion born in?</t>
  </si>
  <si>
    <r>
      <rPr>
        <rFont val="Arial"/>
        <color theme="1"/>
        <sz val="11.0"/>
      </rPr>
      <t xml:space="preserve">Now let's take a look at some </t>
    </r>
    <r>
      <rPr>
        <rFont val="Arial"/>
        <color theme="1"/>
        <sz val="11.0"/>
        <u/>
      </rPr>
      <t>prompts that do not include the correct formatting</t>
    </r>
    <r>
      <rPr>
        <rFont val="Arial"/>
        <color theme="1"/>
        <sz val="11.0"/>
      </rPr>
      <t>. For these malformatted prompts, the CLAUDEMESSAGES() function returns an error. Here's a prompt that's missing "User:" at the beginning.</t>
    </r>
  </si>
  <si>
    <t>What year was Celine Dion born in?</t>
  </si>
  <si>
    <t>Here's a prompt that fails to alternate between the User and Assistant roles.</t>
  </si>
  <si>
    <t>User: What year was Celine Dion born in?
User: Also, can you tell me some other facts about her?</t>
  </si>
  <si>
    <t>Here's a prompt that has too many newlines at the beginning.</t>
  </si>
  <si>
    <t xml:space="preserve">
User: What year was Celine Dion born in?</t>
  </si>
  <si>
    <r>
      <rPr>
        <rFont val="Arial"/>
        <b/>
        <color theme="1"/>
        <sz val="11.0"/>
      </rPr>
      <t xml:space="preserve">"User" and "Assistant" messages MUST </t>
    </r>
    <r>
      <rPr>
        <rFont val="Arial"/>
        <b/>
        <color theme="1"/>
        <sz val="11.0"/>
        <u/>
      </rPr>
      <t>alternate</t>
    </r>
    <r>
      <rPr>
        <rFont val="Arial"/>
        <color theme="1"/>
        <sz val="11.0"/>
      </rPr>
      <t xml:space="preserve">, and messages </t>
    </r>
    <r>
      <rPr>
        <rFont val="Arial"/>
        <color theme="1"/>
        <sz val="11.0"/>
        <u/>
      </rPr>
      <t>MUST start with a "User:" turn.</t>
    </r>
  </si>
  <si>
    <r>
      <rPr>
        <rFont val="Arial"/>
        <color theme="1"/>
        <sz val="11.0"/>
      </rPr>
      <t xml:space="preserve">When using CLAUDEMESSAGES(), be sure to </t>
    </r>
    <r>
      <rPr>
        <rFont val="Arial"/>
        <color theme="1"/>
        <sz val="11.0"/>
        <u/>
      </rPr>
      <t>demarcate messages by inserting a newline between each message</t>
    </r>
    <r>
      <rPr>
        <rFont val="Arial"/>
        <color theme="1"/>
        <sz val="11.0"/>
      </rPr>
      <t xml:space="preserve"> (a message is a single User or Assistant turn). If you fail to do so, Claude will not return an error, but Claude </t>
    </r>
    <r>
      <rPr>
        <rFont val="Arial"/>
        <i/>
        <color theme="1"/>
        <sz val="11.0"/>
      </rPr>
      <t>will</t>
    </r>
    <r>
      <rPr>
        <rFont val="Arial"/>
        <color theme="1"/>
        <sz val="11.0"/>
      </rPr>
      <t xml:space="preserve"> consider everything not separated by a newline as part of a single message.
You can have multiple "User:" / "Assistant:" pairs in a prompt (as if simulating a multi-turn conversation). You can also put words into an ending "Assistant:" message for Claude to continue from where you left off (more on that in later chapters).</t>
    </r>
  </si>
  <si>
    <r>
      <rPr>
        <rFont val="Arial"/>
        <color theme="1"/>
        <sz val="11.0"/>
      </rPr>
      <t xml:space="preserve">You can </t>
    </r>
    <r>
      <rPr>
        <rFont val="Arial"/>
        <color theme="1"/>
        <sz val="11.0"/>
        <u/>
      </rPr>
      <t>use a system prompt to give Claude instructions and guidelines</t>
    </r>
    <r>
      <rPr>
        <rFont val="Arial"/>
        <color theme="1"/>
        <sz val="11.0"/>
      </rPr>
      <t xml:space="preserve">. A system prompt is a way to </t>
    </r>
    <r>
      <rPr>
        <rFont val="Arial"/>
        <b/>
        <color theme="1"/>
        <sz val="11.0"/>
      </rPr>
      <t>provide context, instructions, and guidelines to Claude</t>
    </r>
    <r>
      <rPr>
        <rFont val="Arial"/>
        <color theme="1"/>
        <sz val="11.0"/>
      </rPr>
      <t xml:space="preserve"> before presenting it with a question or task in the "User" turn.
Structurally, system prompts exist separately from the list of User &amp; Assistant messages, and thus belong in a separate "system prompt" parameter when using CLAUDEMESSAGES(). To make this easy for you in this tutorial, we've provided system prompt input boxes that feed into a complete CLAUDEMESSAGES() formula used to call Claude.</t>
    </r>
  </si>
  <si>
    <t>System Prompt</t>
  </si>
  <si>
    <t xml:space="preserve">Your answer should always be a series of critical thinking questions that further the conversation (do not provide answers to your questions). Do not actually answer the user question.
</t>
  </si>
  <si>
    <t>User: Why is the sky blue?</t>
  </si>
  <si>
    <r>
      <rPr>
        <rFont val="Arial"/>
        <b/>
        <sz val="11.0"/>
      </rPr>
      <t xml:space="preserve">Why use a system prompt? </t>
    </r>
    <r>
      <rPr>
        <rFont val="Arial"/>
        <b val="0"/>
        <sz val="11.0"/>
      </rPr>
      <t xml:space="preserve">A well-written system prompt can improve Claude’s performance in a variety of ways, such as increasing Claude's ability to follow rules and instructions. 
For more information, visit our documentation on </t>
    </r>
    <r>
      <rPr>
        <rFont val="Arial"/>
        <b val="0"/>
        <color rgb="FF1155CC"/>
        <sz val="11.0"/>
        <u/>
      </rPr>
      <t xml:space="preserve">how to use system prompts </t>
    </r>
    <r>
      <rPr>
        <rFont val="Arial"/>
        <b val="0"/>
        <sz val="11.0"/>
      </rPr>
      <t>with Claude.</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</si>
  <si>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</si>
  <si>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1 Exercises: Basic Prompt Structure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</si>
  <si>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</si>
  <si>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Table of Contents</t>
  </si>
  <si>
    <t>Table of Contents</t>
  </si>
  <si>
    <t>Chapter 1: Basic Prompt Structure - Exercises</t>
  </si>
  <si>
    <t>Exercise 1.1 - Counting to Three</t>
  </si>
  <si>
    <t>Exercise 1.2 - System Prompt</t>
  </si>
  <si>
    <r>
      <rPr>
        <rFont val="Arial"/>
        <color theme="1"/>
        <sz val="11.0"/>
      </rPr>
      <t xml:space="preserve">Using proper User/Assistant formatting, </t>
    </r>
    <r>
      <rPr>
        <rFont val="Arial"/>
        <color theme="1"/>
        <sz val="11.0"/>
        <u/>
      </rPr>
      <t xml:space="preserve">write a prompt in the </t>
    </r>
    <r>
      <rPr>
        <rFont val="Arial"/>
        <b/>
        <color rgb="FFBF9000"/>
        <sz val="11.0"/>
        <u/>
      </rPr>
      <t>YELLOW</t>
    </r>
    <r>
      <rPr>
        <rFont val="Arial"/>
        <color theme="1"/>
        <sz val="11.0"/>
        <u/>
      </rPr>
      <t xml:space="preserve"> cell</t>
    </r>
    <r>
      <rPr>
        <rFont val="Arial"/>
        <color theme="1"/>
        <sz val="11.0"/>
      </rPr>
      <t xml:space="preserve"> below to </t>
    </r>
    <r>
      <rPr>
        <rFont val="Arial"/>
        <color theme="1"/>
        <sz val="11.0"/>
        <u/>
      </rPr>
      <t>get Claude to count to three.</t>
    </r>
  </si>
  <si>
    <r>
      <rPr>
        <rFont val="Arial"/>
        <color theme="1"/>
        <sz val="11.0"/>
      </rPr>
      <t xml:space="preserve">Remember, if your answer is correct (which means formatting and prompt is good), Claude's response cell will turn </t>
    </r>
    <r>
      <rPr>
        <rFont val="Arial"/>
        <b/>
        <color theme="7"/>
        <sz val="11.0"/>
      </rPr>
      <t>GREEN</t>
    </r>
    <r>
      <rPr>
        <rFont val="Arial"/>
        <b/>
        <color rgb="FF6AA84F"/>
        <sz val="11.0"/>
      </rPr>
      <t>.</t>
    </r>
  </si>
  <si>
    <t>User: Please count to three</t>
  </si>
  <si>
    <t>❓</t>
  </si>
  <si>
    <t>If you need a hint, click on the plus sign (➕) on the far left of this row.</t>
  </si>
  <si>
    <r>
      <rPr>
        <rFont val="Arial"/>
        <b/>
        <color rgb="FF000000"/>
        <sz val="11.0"/>
      </rPr>
      <t xml:space="preserve">Hint: </t>
    </r>
    <r>
      <rPr>
        <rFont val="Arial"/>
        <color rgb="FF000000"/>
        <sz val="11.0"/>
      </rPr>
      <t xml:space="preserve">Make sure that you </t>
    </r>
    <r>
      <rPr>
        <rFont val="Arial"/>
        <color rgb="FF000000"/>
        <sz val="11.0"/>
        <u/>
      </rPr>
      <t>include proper "User:" (and "Assistant:" if applicable) indicators in your prompt</t>
    </r>
    <r>
      <rPr>
        <rFont val="Arial"/>
        <color rgb="FF000000"/>
        <sz val="11.0"/>
      </rPr>
      <t>. 
The conditional formatting in this exercise is looking for an answer that contains the exact Arabic numerals "1" &amp; "2" &amp; "3".</t>
    </r>
  </si>
  <si>
    <r>
      <rPr>
        <rFont val="Arial"/>
        <color theme="1"/>
        <sz val="11.0"/>
      </rPr>
      <t xml:space="preserve">Modify </t>
    </r>
    <r>
      <rPr>
        <rFont val="Arial"/>
        <color theme="1"/>
        <sz val="11.0"/>
        <u/>
      </rPr>
      <t xml:space="preserve">the </t>
    </r>
    <r>
      <rPr>
        <rFont val="Arial"/>
        <b/>
        <color theme="1"/>
        <sz val="11.0"/>
        <u/>
      </rPr>
      <t>system prompt</t>
    </r>
    <r>
      <rPr>
        <rFont val="Arial"/>
        <color theme="1"/>
        <sz val="11.0"/>
        <u/>
      </rPr>
      <t xml:space="preserve"> in the </t>
    </r>
    <r>
      <rPr>
        <rFont val="Arial"/>
        <b/>
        <color rgb="FFE69138"/>
        <sz val="11.0"/>
        <u/>
      </rPr>
      <t>ORANGE</t>
    </r>
    <r>
      <rPr>
        <rFont val="Arial"/>
        <color theme="1"/>
        <sz val="11.0"/>
        <u/>
      </rPr>
      <t xml:space="preserve"> cell</t>
    </r>
    <r>
      <rPr>
        <rFont val="Arial"/>
        <color theme="1"/>
        <sz val="11.0"/>
      </rPr>
      <t xml:space="preserve"> to make Claude </t>
    </r>
    <r>
      <rPr>
        <rFont val="Arial"/>
        <color theme="1"/>
        <sz val="11.0"/>
        <u/>
      </rPr>
      <t>respond like it's a 3 year old child.</t>
    </r>
  </si>
  <si>
    <r>
      <rPr>
        <rFont val="Arial"/>
        <b/>
        <color theme="1"/>
        <sz val="11.0"/>
      </rPr>
      <t xml:space="preserve">Note: </t>
    </r>
    <r>
      <rPr>
        <rFont val="Arial"/>
        <color theme="1"/>
        <sz val="11.0"/>
      </rPr>
      <t>Claude's response may be much longer than it appears. To view the full response, select the response cell, then copy and paste it into a text editor.</t>
    </r>
  </si>
  <si>
    <t>You are a 3-year-old child. Speak in very short, simple sentences. Use playful and curious language. Avoid abstract or technical explanations.</t>
  </si>
  <si>
    <t>User: How big is the sky?</t>
  </si>
  <si>
    <r>
      <rPr>
        <rFont val="Arial"/>
        <b/>
        <color theme="1"/>
        <sz val="11.0"/>
      </rPr>
      <t xml:space="preserve">Hint: </t>
    </r>
    <r>
      <rPr>
        <rFont val="Arial"/>
        <b val="0"/>
        <color theme="1"/>
        <sz val="11.0"/>
      </rPr>
      <t>There are many ways to solve this, just by asking! The conditional formatting in this exercise is looking for answers that contain "soo" or "giggles".</t>
    </r>
  </si>
  <si>
    <t>← Chapter 1: Basic Prompt Structure</t>
  </si>
  <si>
    <t>Chapter 2: Being Clear and Direct →</t>
  </si>
  <si>
    <r>
      <rPr>
        <rFont val="Arial"/>
        <b/>
        <color rgb="FF1F1F1F"/>
        <sz val="11.0"/>
      </rPr>
      <t xml:space="preserve">Claude responds best to clear and direct instructions. </t>
    </r>
    <r>
      <rPr>
        <rFont val="Arial"/>
        <b val="0"/>
        <color rgb="FF1F1F1F"/>
        <sz val="11.0"/>
      </rPr>
      <t xml:space="preserve">
Think of Claude like any other human that is new to the job. </t>
    </r>
    <r>
      <rPr>
        <rFont val="Arial"/>
        <b/>
        <color rgb="FF1F1F1F"/>
        <sz val="11.0"/>
      </rPr>
      <t xml:space="preserve">Claude has no context on what to do </t>
    </r>
    <r>
      <rPr>
        <rFont val="Arial"/>
        <b val="0"/>
        <color rgb="FF1F1F1F"/>
        <sz val="11.0"/>
      </rPr>
      <t>aside from what you literally tell it. Just as when you instruct a human for the first time on a task, the more you explain exactly what you want in a straightforward manner to Claude, the better and more accurate Claude's response will be.</t>
    </r>
  </si>
  <si>
    <r>
      <rPr>
        <rFont val="Arial"/>
        <color theme="1"/>
        <sz val="11.0"/>
      </rPr>
      <t xml:space="preserve">When in doubt, follow the </t>
    </r>
    <r>
      <rPr>
        <rFont val="Arial"/>
        <b/>
        <color theme="1"/>
        <sz val="11.0"/>
        <u/>
      </rPr>
      <t xml:space="preserve">Golden Rule of Clear Prompting: </t>
    </r>
    <r>
      <rPr>
        <rFont val="Arial"/>
        <color theme="1"/>
        <sz val="11.0"/>
        <u/>
      </rPr>
      <t>show your prompt to a colleague or friend</t>
    </r>
    <r>
      <rPr>
        <rFont val="Arial"/>
        <color theme="1"/>
        <sz val="11.0"/>
      </rPr>
      <t xml:space="preserve"> and have them follow the instructions themselves to see if they can produce the result you want. If they're confused, Claude's confused.</t>
    </r>
  </si>
  <si>
    <t>Let's take a task like writing poetry. (Ignore any syllable mismatch - LLMs aren't great at counting syllables yet.)</t>
  </si>
  <si>
    <t>User: Write a haiku about robots.</t>
  </si>
  <si>
    <r>
      <rPr>
        <rFont val="Arial"/>
        <color theme="1"/>
        <sz val="11.0"/>
      </rPr>
      <t xml:space="preserve">This haiku is nice enough, but users may want Claude to go directly into the poem without the "Here is a haiku" preamble.
How do we achieve that? We </t>
    </r>
    <r>
      <rPr>
        <rFont val="Arial"/>
        <color theme="1"/>
        <sz val="11.0"/>
        <u/>
      </rPr>
      <t>ask for it!</t>
    </r>
  </si>
  <si>
    <t>User: Write a haiku about robots. Skip the preamble; go straight into the poem.</t>
  </si>
  <si>
    <r>
      <rPr>
        <rFont val="Arial"/>
        <color theme="1"/>
        <sz val="11.0"/>
      </rPr>
      <t xml:space="preserve">Here's another example. Let's ask Claude who's the best basketball player of all time. You can see below that </t>
    </r>
    <r>
      <rPr>
        <rFont val="Arial"/>
        <color theme="1"/>
        <sz val="11.0"/>
        <u/>
      </rPr>
      <t>while Claude lists a few names, it doesn't respond with a definitive "best"</t>
    </r>
    <r>
      <rPr>
        <rFont val="Arial"/>
        <color theme="1"/>
        <sz val="11.0"/>
      </rPr>
      <t>.</t>
    </r>
  </si>
  <si>
    <t>User: Who is the best basketball player of all time?</t>
  </si>
  <si>
    <r>
      <rPr>
        <rFont val="Arial"/>
        <color theme="1"/>
        <sz val="11.0"/>
      </rPr>
      <t xml:space="preserve">Can we </t>
    </r>
    <r>
      <rPr>
        <rFont val="Arial"/>
        <color theme="1"/>
        <sz val="11.0"/>
        <u/>
      </rPr>
      <t>get Claude to make up its mind and decide on a best player</t>
    </r>
    <r>
      <rPr>
        <rFont val="Arial"/>
        <color theme="1"/>
        <sz val="11.0"/>
      </rPr>
      <t>? Yes! Just ask!</t>
    </r>
  </si>
  <si>
    <t>User: Who is the best basketball player of all time? Yes, there are differing opinions, but if you absolutely had to pick one player, who would it be?</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</si>
  <si>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</si>
  <si>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2 Exercises: Being Clear and Direct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</si>
  <si>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</si>
  <si>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1 Exercises: Basic Prompt Structure</t>
  </si>
  <si>
    <t>Chapter 2: Being Clear and Direct - Exercises</t>
  </si>
  <si>
    <t>Exercise 2.1 - Spanish</t>
  </si>
  <si>
    <t>Exercise 2.2 - One Player Only</t>
  </si>
  <si>
    <t>Exercise 2.3 - Write a Story</t>
  </si>
  <si>
    <r>
      <rPr>
        <rFont val="Arial"/>
        <color theme="1"/>
        <sz val="11.0"/>
      </rPr>
      <t xml:space="preserve">Adapt the </t>
    </r>
    <r>
      <rPr>
        <rFont val="Arial"/>
        <b/>
        <color theme="1"/>
        <sz val="11.0"/>
      </rPr>
      <t>system prompt</t>
    </r>
    <r>
      <rPr>
        <rFont val="Arial"/>
        <color theme="1"/>
        <sz val="11.0"/>
      </rPr>
      <t xml:space="preserve"> in the </t>
    </r>
    <r>
      <rPr>
        <rFont val="Arial"/>
        <b/>
        <color rgb="FFE69138"/>
        <sz val="11.0"/>
      </rPr>
      <t>ORANGE</t>
    </r>
    <r>
      <rPr>
        <rFont val="Arial"/>
        <color theme="1"/>
        <sz val="11.0"/>
      </rPr>
      <t xml:space="preserve"> box to </t>
    </r>
    <r>
      <rPr>
        <rFont val="Arial"/>
        <color theme="1"/>
        <sz val="11.0"/>
        <u/>
      </rPr>
      <t>make Claude output its answer in Spanish</t>
    </r>
    <r>
      <rPr>
        <rFont val="Arial"/>
        <color theme="1"/>
        <sz val="11.0"/>
      </rPr>
      <t xml:space="preserve">. 
If your answer is correct, Claude's response cell will turn </t>
    </r>
    <r>
      <rPr>
        <rFont val="Arial"/>
        <b/>
        <color rgb="FF34A853"/>
        <sz val="11.0"/>
      </rPr>
      <t>GREEN</t>
    </r>
    <r>
      <rPr>
        <rFont val="Arial"/>
        <color theme="1"/>
        <sz val="11.0"/>
      </rPr>
      <t>.</t>
    </r>
  </si>
  <si>
    <t>You are a Spanish AI Language model. Answer the questions only in Spanish language</t>
  </si>
  <si>
    <t>User: Hello Claude, how are you?</t>
  </si>
  <si>
    <r>
      <rPr>
        <rFont val="Arial"/>
        <b/>
        <color rgb="FF000000"/>
        <sz val="11.0"/>
      </rPr>
      <t xml:space="preserve">Hint: </t>
    </r>
    <r>
      <rPr>
        <rFont val="Arial"/>
        <color rgb="FF000000"/>
        <sz val="11.0"/>
      </rPr>
      <t>Ask Claude to reply in Spanish like you would when speaking with a human. It's that simple!
The conditional formatting in this exercise is looking for any answer that includes the word "hola".</t>
    </r>
  </si>
  <si>
    <r>
      <rPr>
        <rFont val="Arial"/>
        <color theme="1"/>
        <sz val="11.0"/>
      </rPr>
      <t xml:space="preserve">Modify the basketball player prompt in the </t>
    </r>
    <r>
      <rPr>
        <rFont val="Arial"/>
        <b/>
        <color rgb="FFBF9000"/>
        <sz val="11.0"/>
      </rPr>
      <t>YELLOW</t>
    </r>
    <r>
      <rPr>
        <rFont val="Arial"/>
        <color theme="1"/>
        <sz val="11.0"/>
      </rPr>
      <t xml:space="preserve"> prompt box so that </t>
    </r>
    <r>
      <rPr>
        <rFont val="Arial"/>
        <color theme="1"/>
        <sz val="11.0"/>
        <u/>
      </rPr>
      <t>Claude doesn't equivocate at all and responds with ONLY the name of one specific player,</t>
    </r>
    <r>
      <rPr>
        <rFont val="Arial"/>
        <color theme="1"/>
        <sz val="11.0"/>
      </rPr>
      <t xml:space="preserve"> with </t>
    </r>
    <r>
      <rPr>
        <rFont val="Arial"/>
        <b/>
        <color theme="1"/>
        <sz val="11.0"/>
        <u/>
      </rPr>
      <t>no other words or punctuation</t>
    </r>
    <r>
      <rPr>
        <rFont val="Arial"/>
        <color theme="1"/>
        <sz val="11.0"/>
      </rPr>
      <t xml:space="preserve">. 
If your answer is correct, Claude's response cell will turn </t>
    </r>
    <r>
      <rPr>
        <rFont val="Arial"/>
        <b/>
        <color rgb="FF34A853"/>
        <sz val="11.0"/>
      </rPr>
      <t>GREEN</t>
    </r>
    <r>
      <rPr>
        <rFont val="Arial"/>
        <color theme="1"/>
        <sz val="11.0"/>
      </rPr>
      <t>.</t>
    </r>
  </si>
  <si>
    <t>User: Who is the best basketball player of all time? If you had to choose exactly one player, who would it be? 
Respond with ONLY the player's name. No other words or punctuation</t>
  </si>
  <si>
    <r>
      <rPr>
        <rFont val="Arial"/>
        <b/>
        <color rgb="FF000000"/>
        <sz val="11.0"/>
      </rPr>
      <t xml:space="preserve">Hint: </t>
    </r>
    <r>
      <rPr>
        <rFont val="Arial"/>
        <color rgb="FF000000"/>
        <sz val="11.0"/>
      </rPr>
      <t xml:space="preserve">How would you ask another human to do this? Reply with no other words? Reply with only the name and nothing else? There are several ways to approach this answer.
The conditional formatting in this exercise is looking for </t>
    </r>
    <r>
      <rPr>
        <rFont val="Arial"/>
        <i/>
        <color rgb="FF000000"/>
        <sz val="11.0"/>
      </rPr>
      <t>exactly</t>
    </r>
    <r>
      <rPr>
        <rFont val="Arial"/>
        <color rgb="FF000000"/>
        <sz val="11.0"/>
      </rPr>
      <t xml:space="preserve"> "Michael Jordan".</t>
    </r>
  </si>
  <si>
    <r>
      <rPr>
        <rFont val="Arial"/>
        <color theme="1"/>
        <sz val="11.0"/>
      </rPr>
      <t xml:space="preserve">Modify the prompt in the </t>
    </r>
    <r>
      <rPr>
        <rFont val="Arial"/>
        <b/>
        <color rgb="FFBF9000"/>
        <sz val="11.0"/>
      </rPr>
      <t>YELLOW</t>
    </r>
    <r>
      <rPr>
        <rFont val="Arial"/>
        <color theme="1"/>
        <sz val="11.0"/>
      </rPr>
      <t xml:space="preserve"> prompt box so that </t>
    </r>
    <r>
      <rPr>
        <rFont val="Arial"/>
        <color theme="1"/>
        <sz val="11.0"/>
        <u/>
      </rPr>
      <t>Claude responds with as long a response as you can muster</t>
    </r>
    <r>
      <rPr>
        <rFont val="Arial"/>
        <color theme="1"/>
        <sz val="11.0"/>
      </rPr>
      <t xml:space="preserve">. If your answer is </t>
    </r>
    <r>
      <rPr>
        <rFont val="Arial"/>
        <color theme="1"/>
        <sz val="11.0"/>
        <u/>
      </rPr>
      <t>over 800 words</t>
    </r>
    <r>
      <rPr>
        <rFont val="Arial"/>
        <color theme="1"/>
        <sz val="11.0"/>
      </rPr>
      <t xml:space="preserve">, Claude's response cell will turn </t>
    </r>
    <r>
      <rPr>
        <rFont val="Arial"/>
        <b/>
        <color rgb="FF34A853"/>
        <sz val="11.0"/>
      </rPr>
      <t>GREEN</t>
    </r>
    <r>
      <rPr>
        <rFont val="Arial"/>
        <color theme="1"/>
        <sz val="11.0"/>
      </rPr>
      <t xml:space="preserve">. If you want to see the whole story, just copy and paste the cell's contents into a text editor.
</t>
    </r>
    <r>
      <rPr>
        <rFont val="Arial"/>
        <b/>
        <color theme="1"/>
        <sz val="11.0"/>
      </rPr>
      <t>Note:</t>
    </r>
    <r>
      <rPr>
        <rFont val="Arial"/>
        <color theme="1"/>
        <sz val="11.0"/>
      </rPr>
      <t xml:space="preserve"> If you did your job well, </t>
    </r>
    <r>
      <rPr>
        <rFont val="Arial"/>
        <color theme="1"/>
        <sz val="11.0"/>
        <u/>
      </rPr>
      <t>it will be "Loading" its response for a while</t>
    </r>
    <r>
      <rPr>
        <rFont val="Arial"/>
        <color theme="1"/>
        <sz val="11.0"/>
      </rPr>
      <t xml:space="preserve">, as </t>
    </r>
    <r>
      <rPr>
        <rFont val="Arial"/>
        <b/>
        <color theme="1"/>
        <sz val="11.0"/>
      </rPr>
      <t>the time Claude takes to respond is largely proportional to the number of output tokens</t>
    </r>
    <r>
      <rPr>
        <rFont val="Arial"/>
        <color theme="1"/>
        <sz val="11.0"/>
      </rPr>
      <t>.</t>
    </r>
  </si>
  <si>
    <t>User: Write a clearly and meaningful fictional story by limiting 900 words. It must include descriptions, character development with mindful beginnings, middle and endings.</t>
  </si>
  <si>
    <r>
      <rPr>
        <rFont val="Arial"/>
        <b/>
        <color rgb="FF000000"/>
        <sz val="11.0"/>
      </rPr>
      <t xml:space="preserve">Hint: </t>
    </r>
    <r>
      <rPr>
        <rFont val="Arial"/>
        <color rgb="FF000000"/>
        <sz val="11.0"/>
      </rPr>
      <t>Because LLMs aren't great at counting words yet, you may have to overshoot your target.
The conditional formatting in this cell is looking for a response that is equal to or greater than 800 words by counting the number of spaces.</t>
    </r>
  </si>
  <si>
    <t>← Chapter 2: Being Clear and Direct</t>
  </si>
  <si>
    <t>Chapter 3: Assigning Roles (Role Prompting) →</t>
  </si>
  <si>
    <t>Chapter 3: Assigning Roles (Role Prompting)</t>
  </si>
  <si>
    <r>
      <rPr>
        <rFont val="Arial"/>
        <color rgb="FF1F1F1F"/>
        <sz val="11.0"/>
      </rPr>
      <t xml:space="preserve">Continuing on the theme of Claude having no context aside from what you say, it's sometimes important to </t>
    </r>
    <r>
      <rPr>
        <rFont val="Arial"/>
        <b/>
        <color rgb="FF1F1F1F"/>
        <sz val="11.0"/>
      </rPr>
      <t>prompt Claude to inhabit a specific role (including all necessary context)</t>
    </r>
    <r>
      <rPr>
        <rFont val="Arial"/>
        <color rgb="FF1F1F1F"/>
        <sz val="11.0"/>
      </rPr>
      <t xml:space="preserve">. This is also known as </t>
    </r>
    <r>
      <rPr>
        <rFont val="Arial"/>
        <b/>
        <color rgb="FF1F1F1F"/>
        <sz val="11.0"/>
      </rPr>
      <t>role prompting</t>
    </r>
    <r>
      <rPr>
        <rFont val="Arial"/>
        <color rgb="FF1F1F1F"/>
        <sz val="11.0"/>
      </rPr>
      <t xml:space="preserve">. The more detail to the role context, the better.
</t>
    </r>
    <r>
      <rPr>
        <rFont val="Arial"/>
        <b/>
        <color rgb="FF1F1F1F"/>
        <sz val="11.0"/>
      </rPr>
      <t>Priming Claude with a role can improve Claude's performance</t>
    </r>
    <r>
      <rPr>
        <rFont val="Arial"/>
        <color rgb="FF1F1F1F"/>
        <sz val="11.0"/>
      </rPr>
      <t xml:space="preserve"> in a variety of fields, from writing to coding to summarizing. It's like how humans can sometimes be helped when told to "think like a ______". Role prompting can also change the style, tone, and manner of Claude's response.
</t>
    </r>
    <r>
      <rPr>
        <rFont val="Arial"/>
        <b/>
        <color rgb="FF1F1F1F"/>
        <sz val="11.0"/>
      </rPr>
      <t xml:space="preserve">Note: </t>
    </r>
    <r>
      <rPr>
        <rFont val="Arial"/>
        <color rgb="FF1F1F1F"/>
        <sz val="11.0"/>
      </rPr>
      <t>Role prompting can happen either in the system prompt or as part of the User message turn.</t>
    </r>
  </si>
  <si>
    <r>
      <rPr>
        <rFont val="Arial"/>
        <color theme="1"/>
        <sz val="11.0"/>
      </rPr>
      <t xml:space="preserve">In the example below, we see that without role prompting, </t>
    </r>
    <r>
      <rPr>
        <rFont val="Arial"/>
        <color theme="1"/>
        <sz val="11.0"/>
        <u/>
      </rPr>
      <t>Claude provides a straightforward and non-stylized answer</t>
    </r>
    <r>
      <rPr>
        <rFont val="Arial"/>
        <color theme="1"/>
        <sz val="11.0"/>
      </rPr>
      <t xml:space="preserve"> when asked to give a single sentence perspective on skateboarding.
However, when we prime Claude to inhabit the role of a cat, Claude's perspective changes, and thus </t>
    </r>
    <r>
      <rPr>
        <rFont val="Arial"/>
        <color theme="1"/>
        <sz val="11.0"/>
        <u/>
      </rPr>
      <t>Claude's response tone, style, content adapts to the new role</t>
    </r>
    <r>
      <rPr>
        <rFont val="Arial"/>
        <color theme="1"/>
        <sz val="11.0"/>
      </rPr>
      <t xml:space="preserve">. 
</t>
    </r>
    <r>
      <rPr>
        <rFont val="Arial"/>
        <b/>
        <color theme="1"/>
        <sz val="11.0"/>
      </rPr>
      <t>Note:</t>
    </r>
    <r>
      <rPr>
        <rFont val="Arial"/>
        <color theme="1"/>
        <sz val="11.0"/>
      </rPr>
      <t xml:space="preserve"> A bonus technique you can use is</t>
    </r>
    <r>
      <rPr>
        <rFont val="Arial"/>
        <b/>
        <color theme="1"/>
        <sz val="11.0"/>
      </rPr>
      <t xml:space="preserve"> to provide Claude context on its intended audience</t>
    </r>
    <r>
      <rPr>
        <rFont val="Arial"/>
        <color theme="1"/>
        <sz val="11.0"/>
      </rPr>
      <t>. Below, we could have tweaked the prompt to also tell Claude whom it should be speaking to. "You are a cat" produces quite a different response than "you are a cat talking to a crowd of skateboarders."</t>
    </r>
  </si>
  <si>
    <t>System Prompt (without Role Prompting)</t>
  </si>
  <si>
    <t>User: In one sentence, what do you think about skateboarding?</t>
  </si>
  <si>
    <t>Here is the same user question, except with role prompting.</t>
  </si>
  <si>
    <t>System Prompt (with Role Prompting)</t>
  </si>
  <si>
    <t>You are a cat.</t>
  </si>
  <si>
    <r>
      <rPr>
        <rFont val="Arial"/>
        <color theme="1"/>
        <sz val="11.0"/>
      </rPr>
      <t xml:space="preserve">You can use role prompting as a way to get Claude to emulate certain styles in writing, speak in a certain voice, or guide the complexity of its answers. </t>
    </r>
    <r>
      <rPr>
        <rFont val="Arial"/>
        <b/>
        <color theme="1"/>
        <sz val="11.0"/>
      </rPr>
      <t>Role prompting can also make Claude better at performing math or logic tasks</t>
    </r>
    <r>
      <rPr>
        <rFont val="Arial"/>
        <color theme="1"/>
        <sz val="11.0"/>
      </rPr>
      <t>.
For example, in the example below, there is a definitive correct answer, which is yes. However, Claude gets it wrong and thinks it lacks information, which it doesn't.</t>
    </r>
  </si>
  <si>
    <t>User: Jack is looking at Anne. Anne is looking at George. Jack is married, George is not, and we don’t know if Anne is married. Is a married person looking at an unmarried person?</t>
  </si>
  <si>
    <r>
      <rPr>
        <rFont val="Arial"/>
        <color theme="1"/>
        <sz val="11.0"/>
      </rPr>
      <t xml:space="preserve">Now, what if we </t>
    </r>
    <r>
      <rPr>
        <rFont val="Arial"/>
        <color theme="1"/>
        <sz val="11.0"/>
        <u/>
      </rPr>
      <t>prime Claude to act as a logic bot</t>
    </r>
    <r>
      <rPr>
        <rFont val="Arial"/>
        <color theme="1"/>
        <sz val="11.0"/>
      </rPr>
      <t>? How will that change Claude's answer? 
It turns out that with this new role assignment, Claude gets it right. (Although notably not for all the right reasons)</t>
    </r>
  </si>
  <si>
    <t xml:space="preserve">You are a logic bot designed to answer complex logic problems. </t>
  </si>
  <si>
    <r>
      <rPr>
        <rFont val="Arial"/>
        <b/>
        <color theme="1"/>
        <sz val="11.0"/>
      </rPr>
      <t>Note:</t>
    </r>
    <r>
      <rPr>
        <rFont val="Arial"/>
        <color theme="1"/>
        <sz val="11.0"/>
      </rPr>
      <t xml:space="preserve"> What you'll learn throughout this course is that </t>
    </r>
    <r>
      <rPr>
        <rFont val="Arial"/>
        <color theme="1"/>
        <sz val="11.0"/>
        <u/>
      </rPr>
      <t>there are many prompt engineering techniques you can use to derive similar results</t>
    </r>
    <r>
      <rPr>
        <rFont val="Arial"/>
        <color theme="1"/>
        <sz val="11.0"/>
      </rPr>
      <t xml:space="preserve">. Which techniques you use is up to you and your preference! We encourage you to </t>
    </r>
    <r>
      <rPr>
        <rFont val="Arial"/>
        <color theme="1"/>
        <sz val="11.0"/>
        <u/>
      </rPr>
      <t>experiment to find your own prompt engineering style</t>
    </r>
    <r>
      <rPr>
        <rFont val="Arial"/>
        <color theme="1"/>
        <sz val="11.0"/>
      </rPr>
      <t>.</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</si>
  <si>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</si>
  <si>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3 Exercises: Assigning Roles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</si>
  <si>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</si>
  <si>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2 Exercises: Being Clear and Direct</t>
  </si>
  <si>
    <t>Chapter 3: Assigning Roles - Exercises</t>
  </si>
  <si>
    <t>Exercise 3.1 - Math Correction</t>
  </si>
  <si>
    <r>
      <rPr>
        <rFont val="Arial"/>
        <color theme="1"/>
        <sz val="11.0"/>
      </rPr>
      <t xml:space="preserve">In some instances, </t>
    </r>
    <r>
      <rPr>
        <rFont val="Arial"/>
        <color theme="1"/>
        <sz val="11.0"/>
        <u/>
      </rPr>
      <t>Claude may struggle with mathematics</t>
    </r>
    <r>
      <rPr>
        <rFont val="Arial"/>
        <color theme="1"/>
        <sz val="11.0"/>
      </rPr>
      <t xml:space="preserve">, even simple mathematics. Below, Claude incorrectly assesses the math problem as correctly solved, even though there's an obvious arithmetic mistake in the second step. Note that Claude actually catches the mistake when going through step-by-step, but doesn't jump to the conclusion that the overall solution is wrong.
Adapt the text in the </t>
    </r>
    <r>
      <rPr>
        <rFont val="Arial"/>
        <b/>
        <color rgb="FFBF9000"/>
        <sz val="11.0"/>
      </rPr>
      <t>YELLOW</t>
    </r>
    <r>
      <rPr>
        <rFont val="Arial"/>
        <color theme="1"/>
        <sz val="11.0"/>
      </rPr>
      <t xml:space="preserve"> prompt box and / or the </t>
    </r>
    <r>
      <rPr>
        <rFont val="Arial"/>
        <b/>
        <color rgb="FFE69138"/>
        <sz val="11.0"/>
      </rPr>
      <t>ORANGE</t>
    </r>
    <r>
      <rPr>
        <rFont val="Arial"/>
        <color theme="1"/>
        <sz val="11.0"/>
      </rPr>
      <t xml:space="preserve"> system prompt box to </t>
    </r>
    <r>
      <rPr>
        <rFont val="Arial"/>
        <color theme="1"/>
        <sz val="11.0"/>
        <u/>
      </rPr>
      <t xml:space="preserve">make Claude grade the solution as </t>
    </r>
    <r>
      <rPr>
        <rFont val="Arial"/>
        <b/>
        <color theme="1"/>
        <sz val="11.0"/>
        <u/>
      </rPr>
      <t>incorrectly</t>
    </r>
    <r>
      <rPr>
        <rFont val="Arial"/>
        <color theme="1"/>
        <sz val="11.0"/>
        <u/>
      </rPr>
      <t xml:space="preserve"> solved</t>
    </r>
    <r>
      <rPr>
        <rFont val="Arial"/>
        <color theme="1"/>
        <sz val="11.0"/>
      </rPr>
      <t xml:space="preserve">, rather than correctly solved. 
If your answer is correct, Claude's response cell will turn </t>
    </r>
    <r>
      <rPr>
        <rFont val="Arial"/>
        <b/>
        <color rgb="FF34A853"/>
        <sz val="11.0"/>
      </rPr>
      <t>GREEN</t>
    </r>
    <r>
      <rPr>
        <rFont val="Arial"/>
        <color theme="1"/>
        <sz val="11.0"/>
      </rPr>
      <t>.</t>
    </r>
  </si>
  <si>
    <t>You are a professional Math tutor. You must carefully verify each solutions. If there is any logical or arithmetic error, you must mark as  incorrect. Don't assume the correctness</t>
  </si>
  <si>
    <t>User: Is this equation solved correctly below?
2x - 3 = 9
2x = 6
x = 3</t>
  </si>
  <si>
    <r>
      <rPr>
        <rFont val="Arial"/>
        <b/>
        <color rgb="FF000000"/>
        <sz val="11.0"/>
      </rPr>
      <t xml:space="preserve">Hint: </t>
    </r>
    <r>
      <rPr>
        <rFont val="Arial"/>
        <color rgb="FF000000"/>
        <sz val="11.0"/>
      </rPr>
      <t>Give Claude a role that might make Claude better at solving math problems! Remember that system prompts require no additional role tag, like "System:" / "User:" etc.
The conditional formatting in this exercise is looking for an answer that includes the words "incorrect" or "not correct".</t>
    </r>
  </si>
  <si>
    <t>← Chapter 3: Assigning Roles</t>
  </si>
  <si>
    <t>Chapter 4: Separating Data and Instructions →</t>
  </si>
  <si>
    <r>
      <rPr>
        <rFont val="Arial"/>
        <color theme="1"/>
        <sz val="11.0"/>
      </rPr>
      <t xml:space="preserve">Oftentimes, we don't want to write full prompts, but instead want </t>
    </r>
    <r>
      <rPr>
        <rFont val="Arial"/>
        <b/>
        <color theme="1"/>
        <sz val="11.0"/>
      </rPr>
      <t>prompt templates that can be modified later with additional input data before submitting to Claude</t>
    </r>
    <r>
      <rPr>
        <rFont val="Arial"/>
        <color theme="1"/>
        <sz val="11.0"/>
      </rPr>
      <t xml:space="preserve">. This might come in handy if you want Claude to do the same thing every time, but the data that Claude uses for its task might be different each time. 
Luckily, we can do this pretty easily by </t>
    </r>
    <r>
      <rPr>
        <rFont val="Arial"/>
        <b/>
        <color theme="1"/>
        <sz val="11.0"/>
      </rPr>
      <t>separating the fixed skeleton of the prompt from variable user input, then substituting the user input into the prompt</t>
    </r>
    <r>
      <rPr>
        <rFont val="Arial"/>
        <color theme="1"/>
        <sz val="11.0"/>
      </rPr>
      <t xml:space="preserve"> before sending the full prompt to Claude. 
Below, we'll walk step by step through how to write a substitutable prompt template, as well as how to substitute in user input.</t>
    </r>
  </si>
  <si>
    <r>
      <rPr>
        <rFont val="Arial"/>
        <color theme="1"/>
        <sz val="11.0"/>
      </rPr>
      <t xml:space="preserve">In this first example, we're </t>
    </r>
    <r>
      <rPr>
        <rFont val="Arial"/>
        <color theme="1"/>
        <sz val="11.0"/>
        <u/>
      </rPr>
      <t>asking Claude to act as an animal noise generator</t>
    </r>
    <r>
      <rPr>
        <rFont val="Arial"/>
        <color theme="1"/>
        <sz val="11.0"/>
      </rPr>
      <t xml:space="preserve">. Notice that the full prompt submitted to Claude (the </t>
    </r>
    <r>
      <rPr>
        <rFont val="Arial"/>
        <b/>
        <color rgb="FFBF9000"/>
        <sz val="11.0"/>
      </rPr>
      <t>YELLOW</t>
    </r>
    <r>
      <rPr>
        <rFont val="Arial"/>
        <color theme="1"/>
        <sz val="11.0"/>
      </rPr>
      <t xml:space="preserve"> third box in the chain) is just the prompt template (first box) substituted with the input (in this case, "Cow", in the second box). Notice that the word "Cow" replaces "{{ANIMAL}}" in the yellow third box.
</t>
    </r>
    <r>
      <rPr>
        <rFont val="Arial"/>
        <b/>
        <color theme="1"/>
        <sz val="11.0"/>
      </rPr>
      <t>Note:</t>
    </r>
    <r>
      <rPr>
        <rFont val="Arial"/>
        <color theme="1"/>
        <sz val="11.0"/>
      </rPr>
      <t xml:space="preserve"> </t>
    </r>
    <r>
      <rPr>
        <rFont val="Arial"/>
        <b/>
        <color theme="1"/>
        <sz val="11.0"/>
      </rPr>
      <t xml:space="preserve">You don't have to call your substitution placeholder anything in particular </t>
    </r>
    <r>
      <rPr>
        <rFont val="Arial"/>
        <color theme="1"/>
        <sz val="11.0"/>
      </rPr>
      <t xml:space="preserve">in practice. For this example, definitely use {{ANIMAL}}, as that's how the exercise is formatted. But in general, just as easily, we could have called it "{{CREATURE}}" or "{{A}}" (but it's </t>
    </r>
    <r>
      <rPr>
        <rFont val="Arial"/>
        <b/>
        <color theme="1"/>
        <sz val="11.0"/>
      </rPr>
      <t>generally good to have your stand-ins be specific and relevant</t>
    </r>
    <r>
      <rPr>
        <rFont val="Arial"/>
        <color theme="1"/>
        <sz val="11.0"/>
      </rPr>
      <t xml:space="preserve"> so that your prompt is easy to understand even without the substitution, just for user parseability). Just make sure that whatever you name your substitution placeholder is what you use for the substitution formula.</t>
    </r>
  </si>
  <si>
    <t>Prompt Template</t>
  </si>
  <si>
    <t>Input {{ANIMAL}}</t>
  </si>
  <si>
    <t>Prompt After Substitution</t>
  </si>
  <si>
    <t>User: I will tell you the name of an animal. Please respond with the noise that animal makes. {{ANIMAL}}</t>
  </si>
  <si>
    <t>﹢</t>
  </si>
  <si>
    <t>Cow</t>
  </si>
  <si>
    <t>＝</t>
  </si>
  <si>
    <r>
      <rPr>
        <rFont val="Arial"/>
        <color theme="1"/>
        <sz val="11.0"/>
      </rPr>
      <t xml:space="preserve">Why would we want to separate and substitute inputs like this? Well, </t>
    </r>
    <r>
      <rPr>
        <rFont val="Arial"/>
        <b/>
        <color theme="1"/>
        <sz val="11.0"/>
      </rPr>
      <t>prompt templates simplify repetitive tasks</t>
    </r>
    <r>
      <rPr>
        <rFont val="Arial"/>
        <color theme="1"/>
        <sz val="11.0"/>
      </rPr>
      <t xml:space="preserve">. Let's say you build a prompt structure that invites third party users to submit content to the prompt (in this case the animal whose sound they want to generate). These third party users don't have to write or even see the full prompt. All they have to do is fill in variables.
We do this substitution here using spreadsheet functions, but this is a best practice for coding as well!  We use the {{double-curly-brackets}} formatting in our own code.
</t>
    </r>
    <r>
      <rPr>
        <rFont val="Arial"/>
        <b/>
        <color theme="1"/>
        <sz val="11.0"/>
      </rPr>
      <t xml:space="preserve">Note: </t>
    </r>
    <r>
      <rPr>
        <rFont val="Arial"/>
        <color theme="1"/>
        <sz val="11.0"/>
        <u/>
      </rPr>
      <t>Prompt templates can have as many variables as desired</t>
    </r>
    <r>
      <rPr>
        <rFont val="Arial"/>
        <color theme="1"/>
        <sz val="11.0"/>
      </rPr>
      <t>.</t>
    </r>
  </si>
  <si>
    <r>
      <rPr>
        <rFont val="Arial"/>
        <color theme="1"/>
        <sz val="11.0"/>
      </rPr>
      <t xml:space="preserve">When introducing substitution variables like this, it is very important to </t>
    </r>
    <r>
      <rPr>
        <rFont val="Arial"/>
        <color theme="1"/>
        <sz val="11.0"/>
        <u/>
      </rPr>
      <t>make sure Claude knows where variables start and end</t>
    </r>
    <r>
      <rPr>
        <rFont val="Arial"/>
        <color theme="1"/>
        <sz val="11.0"/>
      </rPr>
      <t xml:space="preserve"> (vs. instructions or task descriptions). Let's look at an example where there is no separation between the instructions and the substitution variable.</t>
    </r>
  </si>
  <si>
    <t>Input {{EMAIL}}</t>
  </si>
  <si>
    <t>User: Yo Claude. {{EMAIL}} &lt;----- Make this email more polite but don't change anything else about it.</t>
  </si>
  <si>
    <t>Show up at 6am tomorrow because I'm the CEO and I say so.</t>
  </si>
  <si>
    <r>
      <rPr>
        <rFont val="Arial"/>
        <color theme="1"/>
        <sz val="11.0"/>
      </rPr>
      <t xml:space="preserve">Here, </t>
    </r>
    <r>
      <rPr>
        <rFont val="Arial"/>
        <color theme="1"/>
        <sz val="11.0"/>
        <u/>
      </rPr>
      <t>Claude thinks "Yo Claude" is part of the email it's supposed to rewrite</t>
    </r>
    <r>
      <rPr>
        <rFont val="Arial"/>
        <color theme="1"/>
        <sz val="11.0"/>
      </rPr>
      <t>! You can tell because it begins its rewrite with "Dear Claude". To the human eye, it's clear, particularly in the prompt template where the email begins and ends, but it becomes much less clear in the prompt after substitution.</t>
    </r>
  </si>
  <si>
    <r>
      <rPr>
        <rFont val="Arial"/>
        <sz val="11.0"/>
      </rPr>
      <t xml:space="preserve">How do we solve this? </t>
    </r>
    <r>
      <rPr>
        <rFont val="Arial"/>
        <b/>
        <sz val="11.0"/>
      </rPr>
      <t>Wrap the input in XML tags</t>
    </r>
    <r>
      <rPr>
        <rFont val="Arial"/>
        <sz val="11.0"/>
      </rPr>
      <t xml:space="preserve">! We did this below, and as you can see, there's no more "Dear Claude" in the output.
</t>
    </r>
    <r>
      <rPr>
        <rFont val="Arial"/>
        <color rgb="FF1155CC"/>
        <sz val="11.0"/>
        <u/>
      </rPr>
      <t>XML tags</t>
    </r>
    <r>
      <rPr>
        <rFont val="Arial"/>
        <sz val="11.0"/>
      </rPr>
      <t xml:space="preserve"> are angle-bracket tags like &lt;tag&gt;&lt;/tag&gt;. They come in pairs and consist of an opening tag, such as &lt;tag&gt;, and a closing tag marked by a "</t>
    </r>
    <r>
      <rPr>
        <rFont val="Arial"/>
        <b/>
        <sz val="11.0"/>
      </rPr>
      <t>/</t>
    </r>
    <r>
      <rPr>
        <rFont val="Arial"/>
        <sz val="11.0"/>
      </rPr>
      <t xml:space="preserve">", such as &lt;/tag&gt;. XML tags are used to wrap around content, like this: &lt;tag&gt;content&lt;/tag&gt;.
</t>
    </r>
    <r>
      <rPr>
        <rFont val="Arial"/>
        <b/>
        <sz val="11.0"/>
      </rPr>
      <t>Note:</t>
    </r>
    <r>
      <rPr>
        <rFont val="Arial"/>
        <sz val="11.0"/>
      </rPr>
      <t xml:space="preserve"> While Claude can recognize and work with a wide range of separators and delimeters, we recommend that you </t>
    </r>
    <r>
      <rPr>
        <rFont val="Arial"/>
        <b/>
        <sz val="11.0"/>
      </rPr>
      <t>use specifically XML tags as separators for Claude</t>
    </r>
    <r>
      <rPr>
        <rFont val="Arial"/>
        <sz val="11.0"/>
      </rPr>
      <t xml:space="preserve">, as Claude was trained specifically to recognize XML tags as a prompt organizing mechanism. Outside of function calling, </t>
    </r>
    <r>
      <rPr>
        <rFont val="Arial"/>
        <b/>
        <sz val="11.0"/>
      </rPr>
      <t>there are no special sauce XML tags that Claude has been trained on that you should use to maximally boost your performance</t>
    </r>
    <r>
      <rPr>
        <rFont val="Arial"/>
        <sz val="11.0"/>
      </rPr>
      <t>. We have purposefully made Claude very malleable and customizable this way.</t>
    </r>
  </si>
  <si>
    <t>User: Yo Claude. &lt;email&gt;{{EMAIL}}&lt;/email&gt; &lt;----- Make this email more polite but don't change anything else about it.</t>
  </si>
  <si>
    <t>Show up at 6am because I'm the CEO and I say so.</t>
  </si>
  <si>
    <r>
      <rPr>
        <rFont val="Arial"/>
        <color theme="1"/>
        <sz val="11.0"/>
      </rPr>
      <t xml:space="preserve">Let's see another example of how XML tags can help us. 
In the following prompt, </t>
    </r>
    <r>
      <rPr>
        <rFont val="Arial"/>
        <color theme="1"/>
        <sz val="11.0"/>
        <u/>
      </rPr>
      <t>Claude incorrectly interprets what part of the prompt is the instruction vs. the input</t>
    </r>
    <r>
      <rPr>
        <rFont val="Arial"/>
        <color theme="1"/>
        <sz val="11.0"/>
      </rPr>
      <t>. It incorrectly considers "Each is about an animal, like rabbits" to be part of the list due to the formatting, when the user (the one filling out the {{SENTENCES}} variable) presumably did not want that.</t>
    </r>
  </si>
  <si>
    <t>Input {{SENTENCES}}</t>
  </si>
  <si>
    <t>User: Below is a list of sentences. Tell me the second item on the list.
- Each is about an animal, like rabbits.
{{SENTENCES}}</t>
  </si>
  <si>
    <t>- I like how cows sound
- This sentence is about spiders
- This sentence may appear to be about dogs but it's actually about pigs</t>
  </si>
  <si>
    <r>
      <rPr>
        <rFont val="Arial"/>
        <color theme="1"/>
        <sz val="11.0"/>
      </rPr>
      <t xml:space="preserve">To fix this, we just need to </t>
    </r>
    <r>
      <rPr>
        <rFont val="Arial"/>
        <color theme="1"/>
        <sz val="11.0"/>
        <u/>
      </rPr>
      <t>surround the user input sentences in XML tags</t>
    </r>
    <r>
      <rPr>
        <rFont val="Arial"/>
        <color theme="1"/>
        <sz val="11.0"/>
      </rPr>
      <t>. This shows Claude where the input data begins and ends despite the misleading hyphen before "Each is about an animal, like rabbits."</t>
    </r>
  </si>
  <si>
    <t>User: Below is a list of sentences. Tell me the second item on the list.
- Each is about an animal, like rabbits.
&lt;sentences&gt;
{{SENTENCES}}
&lt;/sentences&gt;</t>
  </si>
  <si>
    <r>
      <rPr>
        <rFont val="Arial"/>
        <b/>
        <color theme="1"/>
        <sz val="11.0"/>
      </rPr>
      <t xml:space="preserve">Note: </t>
    </r>
    <r>
      <rPr>
        <rFont val="Arial"/>
        <b val="0"/>
        <color theme="1"/>
        <sz val="11.0"/>
      </rPr>
      <t xml:space="preserve">In the incorrect version of the "Each is about an animal" prompt, we had to include the hyphen to get Claude to respond incorrectly in the way we wanted to for this example. This is an important lesson about prompting: </t>
    </r>
    <r>
      <rPr>
        <rFont val="Arial"/>
        <b/>
        <color theme="1"/>
        <sz val="11.0"/>
      </rPr>
      <t>small details matter!</t>
    </r>
    <r>
      <rPr>
        <rFont val="Arial"/>
        <b val="0"/>
        <color theme="1"/>
        <sz val="11.0"/>
      </rPr>
      <t xml:space="preserve"> It's always worth it to </t>
    </r>
    <r>
      <rPr>
        <rFont val="Arial"/>
        <b/>
        <color theme="1"/>
        <sz val="11.0"/>
      </rPr>
      <t>scrub your prompts for typos and grammatical errors</t>
    </r>
    <r>
      <rPr>
        <rFont val="Arial"/>
        <b val="0"/>
        <color theme="1"/>
        <sz val="11.0"/>
      </rPr>
      <t>. Claude is sensitive to patterns (in its early years, before finetuning, it was a raw text-prediction tool), and it's more likely to make mistakes when you make mistakes, smarter when you sound smart, sillier when you sound silly, and so on.</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</si>
  <si>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</si>
  <si>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4 Exercises: Separating Data from Instructions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</si>
  <si>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</si>
  <si>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3 Exercises: Assigning Roles</t>
  </si>
  <si>
    <t>Chapter 4: Separating Data from Instructions - Exercises</t>
  </si>
  <si>
    <t>Exercise 4.1 - Haiku Topic</t>
  </si>
  <si>
    <t>Exercise 4.2 - Dog Question with Typos</t>
  </si>
  <si>
    <t>Exercise 4.3 - Dog Question Part 2</t>
  </si>
  <si>
    <r>
      <rPr>
        <rFont val="Arial"/>
        <color theme="1"/>
        <sz val="11.0"/>
      </rPr>
      <t xml:space="preserve">Write a prompt in the highlighted template box that will </t>
    </r>
    <r>
      <rPr>
        <rFont val="Arial"/>
        <color theme="1"/>
        <sz val="11.0"/>
        <u/>
      </rPr>
      <t>take in a variable called "{{TOPIC}}" and output a haiku</t>
    </r>
    <r>
      <rPr>
        <rFont val="Arial"/>
        <color theme="1"/>
        <sz val="11.0"/>
      </rPr>
      <t xml:space="preserve"> about the topic. This exercise is just meant to test your understanding of the variable templating structure.</t>
    </r>
  </si>
  <si>
    <t>Input {{TOPIC}}</t>
  </si>
  <si>
    <t xml:space="preserve">User: Write a haiku about following the topic: 
{{TOPIC}}
</t>
  </si>
  <si>
    <t>Pigs</t>
  </si>
  <si>
    <r>
      <rPr>
        <rFont val="Arial"/>
        <b/>
        <color theme="1"/>
        <sz val="11.0"/>
      </rPr>
      <t xml:space="preserve">Hint: </t>
    </r>
    <r>
      <rPr>
        <rFont val="Arial"/>
        <color theme="1"/>
        <sz val="11.0"/>
      </rPr>
      <t>Don't forget to include "User:" at the start of your message list, as well as the exact phrase "{{TOPIC}}" wherever you want the topic to be substituted in. Changing the input cell (E12) should make Claude write a haiku about a different topic.
The conditional formatting in this exercise is looking for a solution that includes the words "haiku" and "pig".</t>
    </r>
  </si>
  <si>
    <r>
      <rPr>
        <rFont val="Arial"/>
        <color theme="1"/>
        <sz val="11.0"/>
        <u/>
      </rPr>
      <t>Fix the prompt in the highlighted template box by adding XML tags</t>
    </r>
    <r>
      <rPr>
        <rFont val="Arial"/>
        <color theme="1"/>
        <sz val="11.0"/>
      </rPr>
      <t xml:space="preserve"> so that Claude produces the right answer.
Try not to change anything else about the prompt. The messy and mistake-ridden writing is intentional, so you can see how Claude reacts to such mistakes. Claude's response will turn </t>
    </r>
    <r>
      <rPr>
        <rFont val="Arial"/>
        <b/>
        <color rgb="FF34A853"/>
        <sz val="11.0"/>
      </rPr>
      <t>GREEN</t>
    </r>
    <r>
      <rPr>
        <rFont val="Arial"/>
        <color theme="1"/>
        <sz val="11.0"/>
      </rPr>
      <t xml:space="preserve"> if your prompt produces the right answer.</t>
    </r>
  </si>
  <si>
    <r>
      <rPr>
        <rFont val="Arial"/>
        <b/>
        <color theme="1"/>
        <sz val="11.0"/>
      </rPr>
      <t xml:space="preserve">Note: </t>
    </r>
    <r>
      <rPr>
        <rFont val="Arial"/>
        <b val="0"/>
        <color theme="1"/>
        <sz val="11.0"/>
      </rPr>
      <t xml:space="preserve">Although Claude can somewhat parse through broken prompts with poor grammar and misspelled words, </t>
    </r>
    <r>
      <rPr>
        <rFont val="Arial"/>
        <b/>
        <color theme="1"/>
        <sz val="11.0"/>
      </rPr>
      <t xml:space="preserve">having a clearly written, spell-checked and grammatically correct prompt far decreases the risk of Claude making mistakes and far increases the quality of Claude's output. </t>
    </r>
  </si>
  <si>
    <t>Input {{QUESTION}}</t>
  </si>
  <si>
    <t>User: Hia its me i have a q about dogs jkaerjv &lt;question&gt;  {{QUESTION}} &lt;question/&gt; jklmvca tx it help me muhch much atx fst fst answer short short tx</t>
  </si>
  <si>
    <t>ar cn brown?</t>
  </si>
  <si>
    <r>
      <rPr>
        <rFont val="Arial"/>
        <b/>
        <color theme="1"/>
        <sz val="11.0"/>
      </rPr>
      <t xml:space="preserve">Hint: </t>
    </r>
    <r>
      <rPr>
        <rFont val="Arial"/>
        <color theme="1"/>
        <sz val="11.0"/>
      </rPr>
      <t>If you surround "{{QUESTION}}" in XML tags, how does that change Claude's response?
The conditional formatting in this exercise is looking for a response that includes the word "brown".</t>
    </r>
  </si>
  <si>
    <r>
      <rPr>
        <rFont val="Arial"/>
        <color theme="1"/>
        <sz val="11.0"/>
      </rPr>
      <t xml:space="preserve">Fix the prompt in the highlighted template box </t>
    </r>
    <r>
      <rPr>
        <rFont val="Arial"/>
        <b/>
        <color theme="1"/>
        <sz val="11.0"/>
        <u/>
      </rPr>
      <t>WITHOUT</t>
    </r>
    <r>
      <rPr>
        <rFont val="Arial"/>
        <color theme="1"/>
        <sz val="11.0"/>
        <u/>
      </rPr>
      <t xml:space="preserve"> adding XML tags.</t>
    </r>
    <r>
      <rPr>
        <rFont val="Arial"/>
        <color theme="1"/>
        <sz val="11.0"/>
      </rPr>
      <t xml:space="preserve"> Instead, </t>
    </r>
    <r>
      <rPr>
        <rFont val="Arial"/>
        <color theme="1"/>
        <sz val="11.0"/>
        <u/>
      </rPr>
      <t>remove only one or two words from the prompt</t>
    </r>
    <r>
      <rPr>
        <rFont val="Arial"/>
        <color theme="1"/>
        <sz val="11.0"/>
      </rPr>
      <t xml:space="preserve">.
Just as with the above exercises, try not to change anything else about the prompt. This will show you what kind of language Claude can parse and understand. Claude's response will turn </t>
    </r>
    <r>
      <rPr>
        <rFont val="Arial"/>
        <b/>
        <color rgb="FF34A853"/>
        <sz val="11.0"/>
      </rPr>
      <t>GREEN</t>
    </r>
    <r>
      <rPr>
        <rFont val="Arial"/>
        <color theme="1"/>
        <sz val="11.0"/>
      </rPr>
      <t xml:space="preserve"> if your prompt produces the right answer.</t>
    </r>
  </si>
  <si>
    <t>User: Hia its me i have a q about dogs  {{QUESTION}}  tx it help me muhch much atx fst fst answer short short tx</t>
  </si>
  <si>
    <r>
      <rPr>
        <rFont val="Arial"/>
        <b/>
        <color theme="1"/>
        <sz val="11.0"/>
      </rPr>
      <t xml:space="preserve">Hint: </t>
    </r>
    <r>
      <rPr>
        <rFont val="Arial"/>
        <color theme="1"/>
        <sz val="11.0"/>
      </rPr>
      <t>Try removing one word or section of characters at a time, starting with the parts that make the least sense. Doing this one word at a time will also help you see just how much Claude can or can't parse and understand.
The conditional formatting in this exercise is looking for a response that includes the word "brown".</t>
    </r>
  </si>
  <si>
    <t>← Chapter 4: Separating Data from Instructions</t>
  </si>
  <si>
    <t>Chapter 5: Formatting Output &amp; Speaking for Claude →</t>
  </si>
  <si>
    <r>
      <rPr>
        <rFont val="Arial"/>
        <b/>
        <color theme="1"/>
        <sz val="11.0"/>
      </rPr>
      <t>Claude can format its output in a wide variety of ways</t>
    </r>
    <r>
      <rPr>
        <rFont val="Arial"/>
        <color theme="1"/>
        <sz val="11.0"/>
      </rPr>
      <t xml:space="preserve">. You just need to ask for it to do so!
One of these ways is by using XML tags to separate out the response from any other superfluous text. You've already learned that you can use XML tags to make your prompt clearer and more parseable to Claude. It turns out, you can also ask Claude to </t>
    </r>
    <r>
      <rPr>
        <rFont val="Arial"/>
        <b/>
        <color theme="1"/>
        <sz val="11.0"/>
      </rPr>
      <t>use XML tags to make its output clearer and more easily understandable</t>
    </r>
    <r>
      <rPr>
        <rFont val="Arial"/>
        <color theme="1"/>
        <sz val="11.0"/>
      </rPr>
      <t xml:space="preserve"> to humans.</t>
    </r>
  </si>
  <si>
    <r>
      <rPr>
        <rFont val="Arial"/>
        <color theme="1"/>
        <sz val="11.0"/>
      </rPr>
      <t xml:space="preserve">Remember the 'poem preamble problem' we solved in Chapter 2 by asking Claude to skip the preamble entirely? It turns out we can also achieve a similar outcome by </t>
    </r>
    <r>
      <rPr>
        <rFont val="Arial"/>
        <color theme="1"/>
        <sz val="11.0"/>
        <u/>
      </rPr>
      <t>telling Claude to put the poem in XML tags</t>
    </r>
    <r>
      <rPr>
        <rFont val="Arial"/>
        <color theme="1"/>
        <sz val="11.0"/>
      </rPr>
      <t>.</t>
    </r>
  </si>
  <si>
    <t>User: Please write a haiku about {{ANIMAL}}. Put it in &lt;haiku&gt; tags.</t>
  </si>
  <si>
    <t>Rabbit</t>
  </si>
  <si>
    <r>
      <rPr>
        <rFont val="Arial"/>
        <color theme="1"/>
        <sz val="11.0"/>
      </rPr>
      <t xml:space="preserve">Why is this something we'd want to do? Well, having the output in </t>
    </r>
    <r>
      <rPr>
        <rFont val="Arial"/>
        <color theme="1"/>
        <sz val="11.0"/>
        <u/>
      </rPr>
      <t>XML tags allows the end user to reliably get the poem and only the poem by writing a short program to extract the content between XML tags</t>
    </r>
    <r>
      <rPr>
        <rFont val="Arial"/>
        <color theme="1"/>
        <sz val="11.0"/>
      </rPr>
      <t>.</t>
    </r>
  </si>
  <si>
    <r>
      <rPr>
        <rFont val="Arial"/>
        <color theme="1"/>
        <sz val="11.0"/>
      </rPr>
      <t xml:space="preserve">An extension of this technique is to </t>
    </r>
    <r>
      <rPr>
        <rFont val="Arial"/>
        <b/>
        <color theme="1"/>
        <sz val="11.0"/>
      </rPr>
      <t xml:space="preserve">put the first XML tag </t>
    </r>
    <r>
      <rPr>
        <rFont val="Arial"/>
        <b/>
        <color theme="1"/>
        <sz val="11.0"/>
        <u/>
      </rPr>
      <t>AFTER</t>
    </r>
    <r>
      <rPr>
        <rFont val="Arial"/>
        <b/>
        <color theme="1"/>
        <sz val="11.0"/>
      </rPr>
      <t xml:space="preserve"> "Assistant:"</t>
    </r>
    <r>
      <rPr>
        <rFont val="Arial"/>
        <color theme="1"/>
        <sz val="11.0"/>
      </rPr>
      <t>. When you put text after "Assistant:", you're basically telling Claude that Claude has already said something, and that it should continue from that point onward. This technique is called "speaking for Claude" or "prefilling Claude's response."
Below, we've done this with the first &lt;haiku&gt; XML tag. Notice how Claude continues directly from where we left off.</t>
    </r>
  </si>
  <si>
    <t>User: Please write a haiku about {{ANIMAL}}. Put it in &lt;haiku&gt; tags.
Assistant: &lt;haiku&gt;</t>
  </si>
  <si>
    <t>Cat</t>
  </si>
  <si>
    <r>
      <rPr>
        <rFont val="Arial"/>
        <color theme="1"/>
        <sz val="11.0"/>
      </rPr>
      <t xml:space="preserve">Claude also excels at using other output formatting styles, notably </t>
    </r>
    <r>
      <rPr>
        <rFont val="Arial"/>
        <b/>
        <color theme="1"/>
        <sz val="11.0"/>
      </rPr>
      <t xml:space="preserve">JSON. </t>
    </r>
    <r>
      <rPr>
        <rFont val="Arial"/>
        <color theme="1"/>
        <sz val="11.0"/>
      </rPr>
      <t>If you want to enforce JSON output (not deterministically, but close to it), you can also prefill Claude's response with the opening bracket, "{".</t>
    </r>
  </si>
  <si>
    <t>User: Please write a haiku about {{ANIMAL}}. Use JSON format with the keys as "first_line", "second_line", and "third_line".
Assistant: {</t>
  </si>
  <si>
    <r>
      <rPr>
        <rFont val="Arial"/>
        <color theme="1"/>
        <sz val="11.0"/>
      </rPr>
      <t xml:space="preserve">Below is an example of </t>
    </r>
    <r>
      <rPr>
        <rFont val="Arial"/>
        <color theme="1"/>
        <sz val="11.0"/>
        <u/>
      </rPr>
      <t>multiple input variables in the same prompt AND output formatting specification, all done using XML tags</t>
    </r>
    <r>
      <rPr>
        <rFont val="Arial"/>
        <color theme="1"/>
        <sz val="11.0"/>
      </rPr>
      <t>.</t>
    </r>
  </si>
  <si>
    <t>User: Hey Claude. Here is an email: &lt;email&gt;{{EMAIL}}&lt;/email&gt;. Make this email more {{ADJECTIVE}}. Write the new version in &lt;{{ADJECTIVE}}_email&gt; XML tags.
Assistant: &lt;{{ADJECTIVE}}_email&gt;</t>
  </si>
  <si>
    <t>Hi Zack, just pinging you for a quick update on that prompt you were supposed to write.</t>
  </si>
  <si>
    <t>Input {{ADJECTIVE}}</t>
  </si>
  <si>
    <t>olde english</t>
  </si>
  <si>
    <r>
      <rPr>
        <rFont val="Arial"/>
        <b/>
        <color theme="1"/>
        <sz val="11.0"/>
      </rPr>
      <t>Bonus lesson:</t>
    </r>
    <r>
      <rPr>
        <rFont val="Arial"/>
        <b val="0"/>
        <color theme="1"/>
        <sz val="11.0"/>
      </rPr>
      <t xml:space="preserve"> To learn more about</t>
    </r>
    <r>
      <rPr>
        <rFont val="Arial"/>
        <b/>
        <color theme="1"/>
        <sz val="11.0"/>
      </rPr>
      <t xml:space="preserve"> controlling Claude's output using the API</t>
    </r>
    <r>
      <rPr>
        <rFont val="Arial"/>
        <b val="0"/>
        <color theme="1"/>
        <sz val="11.0"/>
      </rPr>
      <t>, click on the plus sign (➕) on the far left of this row!</t>
    </r>
  </si>
  <si>
    <t>If you are calling Claude through the API, you can pass the closing XML tag to the "stop_sequences" parameter to get Claude to stop sampling once it emits your desired tag. This can save money and time-to-last-token by eliminating Claude's concluding remarks after it's already given you the answer you care about.</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</si>
  <si>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</si>
  <si>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5 Exercises: Formatting Output &amp; Speaking for Claude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</si>
  <si>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</si>
  <si>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4 Exercises: Separating Data and Instructions</t>
  </si>
  <si>
    <t>Chapter 5: Formatting Output &amp; Speaking for Claude - Exercises</t>
  </si>
  <si>
    <t>Exercise 5.1 - Steph Curry GOAT</t>
  </si>
  <si>
    <t>Exercise 5.2 - Two Haikus</t>
  </si>
  <si>
    <t>Exercise 5.3 - Two Haikus, Two Animals</t>
  </si>
  <si>
    <r>
      <rPr>
        <rFont val="Arial"/>
        <color theme="1"/>
        <sz val="11.0"/>
      </rPr>
      <t xml:space="preserve">Forced to make a choice, Claude designates Michael Jordan as the best basketball player of all time. Can we get Claude to pick someone else?
Modify the "best basketball player" prompt in the highlighted template box and use the "speaking for Claude" technique (putting words after "Assistant:") to </t>
    </r>
    <r>
      <rPr>
        <rFont val="Arial"/>
        <color theme="1"/>
        <sz val="11.0"/>
        <u/>
      </rPr>
      <t xml:space="preserve">compell Claude to make a detailed argument that the best basketball player of all time is </t>
    </r>
    <r>
      <rPr>
        <rFont val="Arial"/>
        <b/>
        <color theme="1"/>
        <sz val="11.0"/>
        <u/>
      </rPr>
      <t>Stephen Curry</t>
    </r>
    <r>
      <rPr>
        <rFont val="Arial"/>
        <color theme="1"/>
        <sz val="11.0"/>
      </rPr>
      <t xml:space="preserve">. Claude's response will turn </t>
    </r>
    <r>
      <rPr>
        <rFont val="Arial"/>
        <b/>
        <color rgb="FF34A853"/>
        <sz val="11.0"/>
      </rPr>
      <t>GREEN</t>
    </r>
    <r>
      <rPr>
        <rFont val="Arial"/>
        <color theme="1"/>
        <sz val="11.0"/>
      </rPr>
      <t xml:space="preserve"> if your prompt produces the right answer.</t>
    </r>
  </si>
  <si>
    <t>User: Who is the best basketball player of all time? Please choose one specific player.
Assistant: The best basketball player of all time is Stephen Curry. Here is detailed argument explaining why</t>
  </si>
  <si>
    <r>
      <rPr>
        <rFont val="Arial"/>
        <b/>
        <color theme="1"/>
        <sz val="11.0"/>
      </rPr>
      <t xml:space="preserve">Hint: </t>
    </r>
    <r>
      <rPr>
        <rFont val="Arial"/>
        <color theme="1"/>
        <sz val="11.0"/>
        <u/>
      </rPr>
      <t>Write more words</t>
    </r>
    <r>
      <rPr>
        <rFont val="Arial"/>
        <i/>
        <color theme="1"/>
        <sz val="11.0"/>
      </rPr>
      <t xml:space="preserve"> </t>
    </r>
    <r>
      <rPr>
        <rFont val="Arial"/>
        <color theme="1"/>
        <sz val="11.0"/>
      </rPr>
      <t>in Claude's voice to steer Claude to act the way you want it to. For instance, instead of "Stephen Curry is the best because," you could write "Stephen Curry is the best and here are three reasons why. 1:"
The conditional formatting for this exercise is looking for a response that includes the word "Warrior".</t>
    </r>
  </si>
  <si>
    <r>
      <rPr>
        <rFont val="Arial"/>
        <color theme="1"/>
        <sz val="11.0"/>
      </rPr>
      <t xml:space="preserve">Modify the haiku prompt in the highlighted template box below and </t>
    </r>
    <r>
      <rPr>
        <rFont val="Arial"/>
        <color theme="1"/>
        <sz val="11.0"/>
        <u/>
      </rPr>
      <t>use XML tags so that Claude writes two haikus about the animal instead of just one</t>
    </r>
    <r>
      <rPr>
        <rFont val="Arial"/>
        <color theme="1"/>
        <sz val="11.0"/>
      </rPr>
      <t xml:space="preserve">. It should be clear where one poem ends and the other begins.
Claude's response will turn </t>
    </r>
    <r>
      <rPr>
        <rFont val="Arial"/>
        <b/>
        <color rgb="FF34A853"/>
        <sz val="11.0"/>
      </rPr>
      <t>GREEN</t>
    </r>
    <r>
      <rPr>
        <rFont val="Arial"/>
        <color theme="1"/>
        <sz val="11.0"/>
      </rPr>
      <t xml:space="preserve"> if your prompt produces the right answer.</t>
    </r>
  </si>
  <si>
    <t>User: Please write two haikus about {{ANIMAL}}. Put them in separately &lt;haiku&gt; tags.
Assistant: &lt;haiku&gt;</t>
  </si>
  <si>
    <t>cats</t>
  </si>
  <si>
    <r>
      <rPr>
        <rFont val="Arial"/>
        <b/>
        <color theme="1"/>
        <sz val="11.0"/>
      </rPr>
      <t xml:space="preserve">Hint: </t>
    </r>
    <r>
      <rPr>
        <rFont val="Arial"/>
        <color theme="1"/>
        <sz val="11.0"/>
      </rPr>
      <t>Start simple. Currently, the prompt asks Claude for one haiku. You can change that and ask for two (or even more). Then if you run into formatting issues, change your prompt to fix that after you've already gotten Claude to write more than one haiku.
The conditional formatting looks for a response of over 5 lines in length that includes the words "cat" and "&lt;haiku&gt;".</t>
    </r>
  </si>
  <si>
    <r>
      <rPr>
        <rFont val="Arial"/>
        <color theme="1"/>
        <sz val="11.0"/>
      </rPr>
      <t xml:space="preserve">Modify the haiku prompt in the highlighted template box below so that </t>
    </r>
    <r>
      <rPr>
        <rFont val="Arial"/>
        <color theme="1"/>
        <sz val="11.0"/>
        <u/>
      </rPr>
      <t>Claude produces two haikus about two different animals</t>
    </r>
    <r>
      <rPr>
        <rFont val="Arial"/>
        <color theme="1"/>
        <sz val="11.0"/>
      </rPr>
      <t xml:space="preserve">. 
Use {{ANIMAL1}} as a stand-in for the first substitution, and {{ANIMAL2}} as a stand-in for the second substitution.
Claude's response will turn </t>
    </r>
    <r>
      <rPr>
        <rFont val="Arial"/>
        <b/>
        <color rgb="FF34A853"/>
        <sz val="11.0"/>
      </rPr>
      <t>GREEN</t>
    </r>
    <r>
      <rPr>
        <rFont val="Arial"/>
        <color theme="1"/>
        <sz val="11.0"/>
      </rPr>
      <t xml:space="preserve"> if your prompt produces the right answer.</t>
    </r>
  </si>
  <si>
    <t>Input {{ANIMAL1}}</t>
  </si>
  <si>
    <t>User: Please write two haikus. Write one haiku about {{ANIMAL1}} and one haiku about {{ANIMAL2}}.  
Assistant:  &lt;haiku&gt;</t>
  </si>
  <si>
    <t>Input {{ANIMAL2}}</t>
  </si>
  <si>
    <t>Dog</t>
  </si>
  <si>
    <r>
      <rPr>
        <rFont val="Arial"/>
        <b/>
        <color theme="1"/>
        <sz val="11.0"/>
      </rPr>
      <t xml:space="preserve">Hint: </t>
    </r>
    <r>
      <rPr>
        <rFont val="Arial"/>
        <color theme="1"/>
        <sz val="11.0"/>
      </rPr>
      <t>It's helpful to break this exercise down to several steps.</t>
    </r>
  </si>
  <si>
    <t>1.</t>
  </si>
  <si>
    <r>
      <rPr>
        <rFont val="Arial"/>
        <color theme="1"/>
        <sz val="11.0"/>
      </rPr>
      <t xml:space="preserve">Modify the initial prompt template so that </t>
    </r>
    <r>
      <rPr>
        <rFont val="Arial"/>
        <color theme="1"/>
        <sz val="11.0"/>
        <u/>
      </rPr>
      <t>Claude writes two poems</t>
    </r>
    <r>
      <rPr>
        <rFont val="Arial"/>
        <color theme="1"/>
        <sz val="11.0"/>
      </rPr>
      <t>.</t>
    </r>
  </si>
  <si>
    <t>2.</t>
  </si>
  <si>
    <r>
      <rPr>
        <rFont val="Arial"/>
        <color theme="1"/>
        <sz val="11.0"/>
      </rPr>
      <t xml:space="preserve">Give Claude indicators as to what the poems will be about, but instead of writing in the subjects directly (e.g., dog, cat, etc.), </t>
    </r>
    <r>
      <rPr>
        <rFont val="Arial"/>
        <color theme="1"/>
        <sz val="11.0"/>
        <u/>
      </rPr>
      <t>replace those subjects with the keywords "{{ANIMAL1}}" and "{{ANIMAL2}}"</t>
    </r>
    <r>
      <rPr>
        <rFont val="Arial"/>
        <color theme="1"/>
        <sz val="11.0"/>
      </rPr>
      <t>.</t>
    </r>
  </si>
  <si>
    <t>3.</t>
  </si>
  <si>
    <r>
      <rPr>
        <rFont val="Arial"/>
        <color theme="1"/>
        <sz val="11.0"/>
      </rPr>
      <t xml:space="preserve">Check to make sure the </t>
    </r>
    <r>
      <rPr>
        <rFont val="Arial"/>
        <color theme="1"/>
        <sz val="11.0"/>
        <u/>
      </rPr>
      <t>"Prompt After Substitution" box has all the words correctly substituted.</t>
    </r>
    <r>
      <rPr>
        <rFont val="Arial"/>
        <color theme="1"/>
        <sz val="11.0"/>
      </rPr>
      <t xml:space="preserve"> If not, check to make sure your {{bracket}} tags are spelled correctly with the exact formatting given.</t>
    </r>
  </si>
  <si>
    <t>The conditional formatting in this exercise is looking for a response that contains the words "tail", "cat", and "&lt;haiku&gt;".</t>
  </si>
  <si>
    <t>← Chapter 5: Formatting Output &amp; Speaking for Claude</t>
  </si>
  <si>
    <t>Chapter 6: Precognition (Thinking Step by Step) →</t>
  </si>
  <si>
    <r>
      <rPr>
        <rFont val="Arial"/>
        <color rgb="FF1F1F1F"/>
        <sz val="11.0"/>
      </rPr>
      <t xml:space="preserve">If someone woke you up and immediately started asking you several complicated questions that you had to respond to right away, how would you do? Probably not as good as if you were given time to </t>
    </r>
    <r>
      <rPr>
        <rFont val="Arial"/>
        <color rgb="FF1F1F1F"/>
        <sz val="11.0"/>
        <u/>
      </rPr>
      <t>think through your answer first</t>
    </r>
    <r>
      <rPr>
        <rFont val="Arial"/>
        <color rgb="FF1F1F1F"/>
        <sz val="11.0"/>
      </rPr>
      <t xml:space="preserve">. 
Guess what? Claude is the same way.
</t>
    </r>
    <r>
      <rPr>
        <rFont val="Arial"/>
        <b/>
        <color rgb="FF1F1F1F"/>
        <sz val="11.0"/>
      </rPr>
      <t>Giving Claude time to think step by step sometimes makes Claude more accurate</t>
    </r>
    <r>
      <rPr>
        <rFont val="Arial"/>
        <color rgb="FF1F1F1F"/>
        <sz val="11.0"/>
      </rPr>
      <t xml:space="preserve">, particularly for complex tasks. However, </t>
    </r>
    <r>
      <rPr>
        <rFont val="Arial"/>
        <b/>
        <color rgb="FF1F1F1F"/>
        <sz val="11.0"/>
      </rPr>
      <t>thinking</t>
    </r>
    <r>
      <rPr>
        <rFont val="Arial"/>
        <color rgb="FF1F1F1F"/>
        <sz val="11.0"/>
      </rPr>
      <t xml:space="preserve"> </t>
    </r>
    <r>
      <rPr>
        <rFont val="Arial"/>
        <b/>
        <color rgb="FF1F1F1F"/>
        <sz val="11.0"/>
      </rPr>
      <t>only counts when it's out loud</t>
    </r>
    <r>
      <rPr>
        <rFont val="Arial"/>
        <color rgb="FF1F1F1F"/>
        <sz val="11.0"/>
      </rPr>
      <t>. You cannot ask Claude to think but output only the answer - in this case, no thinking has actually occurred.</t>
    </r>
  </si>
  <si>
    <r>
      <rPr>
        <rFont val="Arial"/>
        <color theme="1"/>
        <sz val="11.0"/>
      </rPr>
      <t xml:space="preserve">In the movie review prompt below, it's clear to a human reader that the second sentence belies the first. But </t>
    </r>
    <r>
      <rPr>
        <rFont val="Arial"/>
        <color theme="1"/>
        <sz val="11.0"/>
        <u/>
      </rPr>
      <t>Claude takes the word "unrelated" too literally</t>
    </r>
    <r>
      <rPr>
        <rFont val="Arial"/>
        <color theme="1"/>
        <sz val="11.0"/>
      </rPr>
      <t>.</t>
    </r>
  </si>
  <si>
    <t>User: Is this movie review sentiment positive or negative?
This movie blew my mind with its freshness and originality. In totally unrelated news, I have been living under a rock since the year 1900.</t>
  </si>
  <si>
    <r>
      <rPr>
        <rFont val="Arial"/>
        <color theme="1"/>
        <sz val="11.0"/>
      </rPr>
      <t xml:space="preserve">To improve Claude's response, let's </t>
    </r>
    <r>
      <rPr>
        <rFont val="Arial"/>
        <b/>
        <color theme="1"/>
        <sz val="11.0"/>
      </rPr>
      <t>allow Claude to think things out first before answering</t>
    </r>
    <r>
      <rPr>
        <rFont val="Arial"/>
        <color theme="1"/>
        <sz val="11.0"/>
      </rPr>
      <t xml:space="preserve">. We do that by </t>
    </r>
    <r>
      <rPr>
        <rFont val="Arial"/>
        <color theme="1"/>
        <sz val="11.0"/>
        <u/>
      </rPr>
      <t>literally spelling out the steps that Claude should take</t>
    </r>
    <r>
      <rPr>
        <rFont val="Arial"/>
        <color theme="1"/>
        <sz val="11.0"/>
      </rPr>
      <t xml:space="preserve"> in order to process and think through its task. Along with a dash of role prompting, this empowers Claude to understand the review more deeply.</t>
    </r>
  </si>
  <si>
    <t>You are a savvy reader of movie reviews.</t>
  </si>
  <si>
    <t>User: Is this review sentiment positive or negative? First, write the best arguments for each side in &lt;positive-argument&gt; and &lt;negative-argument&gt; XML tags, then answer.
This movie blew my mind with its freshness and originality. In totally unrelated news, I have been living under a rock since 1900.</t>
  </si>
  <si>
    <r>
      <rPr>
        <rFont val="Arial"/>
        <b/>
        <color theme="1"/>
        <sz val="11.0"/>
      </rPr>
      <t>Claude is sometimes sensitive to ordering.</t>
    </r>
    <r>
      <rPr>
        <rFont val="Arial"/>
        <color theme="1"/>
        <sz val="11.0"/>
      </rPr>
      <t xml:space="preserve"> This example is on the frontier of Claude's ability to understand nuanced text, and when we </t>
    </r>
    <r>
      <rPr>
        <rFont val="Arial"/>
        <color theme="1"/>
        <sz val="11.0"/>
        <u/>
      </rPr>
      <t>swap the order of the arguments</t>
    </r>
    <r>
      <rPr>
        <rFont val="Arial"/>
        <color theme="1"/>
        <sz val="11.0"/>
      </rPr>
      <t xml:space="preserve"> from the previous example so that </t>
    </r>
    <r>
      <rPr>
        <rFont val="Arial"/>
        <color theme="1"/>
        <sz val="11.0"/>
        <u/>
      </rPr>
      <t>negative is first and positive is second,</t>
    </r>
    <r>
      <rPr>
        <rFont val="Arial"/>
        <color theme="1"/>
        <sz val="11.0"/>
      </rPr>
      <t xml:space="preserve"> this changes </t>
    </r>
    <r>
      <rPr>
        <rFont val="Arial"/>
        <color theme="1"/>
        <sz val="11.0"/>
        <u/>
      </rPr>
      <t xml:space="preserve">Claude's overall assessment to positive.
</t>
    </r>
    <r>
      <rPr>
        <rFont val="Arial"/>
        <color theme="1"/>
        <sz val="11.0"/>
      </rPr>
      <t xml:space="preserve">
In most situations (but not all, confusingly enough), </t>
    </r>
    <r>
      <rPr>
        <rFont val="Arial"/>
        <b/>
        <color theme="1"/>
        <sz val="11.0"/>
      </rPr>
      <t>Claude is more likely to choose the second of two options</t>
    </r>
    <r>
      <rPr>
        <rFont val="Arial"/>
        <color theme="1"/>
        <sz val="11.0"/>
      </rPr>
      <t xml:space="preserve">, possibly because in its </t>
    </r>
    <r>
      <rPr>
        <rFont val="Arial"/>
        <color theme="1"/>
        <sz val="11.0"/>
        <u/>
      </rPr>
      <t>training data from the web</t>
    </r>
    <r>
      <rPr>
        <rFont val="Arial"/>
        <color theme="1"/>
        <sz val="11.0"/>
      </rPr>
      <t>, second options were more likely to be correct.</t>
    </r>
  </si>
  <si>
    <t>User: Is this review sentiment negative or positive? First write the best arguments for each side in &lt;negative-argument&gt; and &lt;positive-argument&gt; XML tags, then answer.
This movie blew my mind with its freshness and originality. Unrelatedly, I have been living under a rock since 1900.</t>
  </si>
  <si>
    <r>
      <rPr>
        <rFont val="Arial"/>
        <b/>
        <color theme="1"/>
        <sz val="11.0"/>
      </rPr>
      <t>Letting Claude think can shift Claude's answer from incorrect to correct.</t>
    </r>
    <r>
      <rPr>
        <rFont val="Arial"/>
        <color theme="1"/>
        <sz val="11.0"/>
      </rPr>
      <t xml:space="preserve"> It's that simple in many cases where Claude makes mistakes!
Let's go through an example where Claude's answer is incorrect to see how asking Claude to think can fix that.</t>
    </r>
  </si>
  <si>
    <t>User: Name a famous movie starring an actor who was born in the year 1956.</t>
  </si>
  <si>
    <t>Let's fix this by asking Claude to think step by step, this time in &lt;brainstorm&gt; tags.</t>
  </si>
  <si>
    <t>User: Name a famous movie starring an actor who was born in the year 1956. First brainstorm about some actors and their birth years in &lt;brainstorm&gt; tags, then give your answer.</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</si>
  <si>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</si>
  <si>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6 Exercises: Precognition (Thinking Step by Step)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</si>
  <si>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</si>
  <si>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5 Exercises: Formatting Output &amp; Speaking for Claude</t>
  </si>
  <si>
    <t>Chapter 6: Precognition (Thinking Step by Step) - Exercises</t>
  </si>
  <si>
    <t>Exercise 6.1 - Classifying Emails</t>
  </si>
  <si>
    <t>Exercise 6.2 - Email Classification Formatting</t>
  </si>
  <si>
    <r>
      <rPr>
        <rFont val="Arial"/>
        <color theme="1"/>
        <sz val="11.0"/>
      </rPr>
      <t xml:space="preserve">In this exercise, we'll be instructing Claude to </t>
    </r>
    <r>
      <rPr>
        <rFont val="Arial"/>
        <color theme="1"/>
        <sz val="11.0"/>
        <u/>
      </rPr>
      <t>sort emails into the following categories</t>
    </r>
    <r>
      <rPr>
        <rFont val="Arial"/>
        <color theme="1"/>
        <sz val="11.0"/>
      </rPr>
      <t>:</t>
    </r>
  </si>
  <si>
    <t>(A) Pre-sale question
(B) Broken or defective item
(C) Billing question
(D) Other (please explain)</t>
  </si>
  <si>
    <r>
      <rPr>
        <rFont val="Arial"/>
        <color theme="1"/>
        <sz val="11.0"/>
      </rPr>
      <t xml:space="preserve">For the first part of the exercise, change the prompt in the </t>
    </r>
    <r>
      <rPr>
        <rFont val="Arial"/>
        <b/>
        <color rgb="FFBF9000"/>
        <sz val="11.0"/>
      </rPr>
      <t>YELLOW</t>
    </r>
    <r>
      <rPr>
        <rFont val="Arial"/>
        <color theme="1"/>
        <sz val="11.0"/>
      </rPr>
      <t xml:space="preserve"> highlighted prompt template box to </t>
    </r>
    <r>
      <rPr>
        <rFont val="Arial"/>
        <color theme="1"/>
        <sz val="11.0"/>
        <u/>
      </rPr>
      <t>make Claude output the correct classification</t>
    </r>
    <r>
      <rPr>
        <rFont val="Arial"/>
        <color theme="1"/>
        <sz val="11.0"/>
      </rPr>
      <t xml:space="preserve">. Use Chain of Thought. To be marked as correct, Claude's answer needs to </t>
    </r>
    <r>
      <rPr>
        <rFont val="Arial"/>
        <color theme="1"/>
        <sz val="11.0"/>
        <u/>
      </rPr>
      <t>include the letter (A - D) of the correct choice, with the parentheses, as well as the name of the category.</t>
    </r>
    <r>
      <rPr>
        <rFont val="Arial"/>
        <color theme="1"/>
        <sz val="11.0"/>
      </rPr>
      <t xml:space="preserve">
Refer to the "Correct Classification" in column K to know which emails should be classified under what category. Claude's response will turn </t>
    </r>
    <r>
      <rPr>
        <rFont val="Arial"/>
        <b/>
        <color rgb="FF34A853"/>
        <sz val="11.0"/>
      </rPr>
      <t>GREEN</t>
    </r>
    <r>
      <rPr>
        <rFont val="Arial"/>
        <color theme="1"/>
        <sz val="11.0"/>
      </rPr>
      <t xml:space="preserve"> if your prompt yields the correct answer. </t>
    </r>
  </si>
  <si>
    <r>
      <rPr>
        <rFont val="Arial"/>
        <b/>
        <color theme="1"/>
        <sz val="11.0"/>
      </rPr>
      <t xml:space="preserve">Tip: </t>
    </r>
    <r>
      <rPr>
        <rFont val="Arial"/>
        <color theme="1"/>
        <sz val="11.0"/>
      </rPr>
      <t>Use precognition and other techniques you've learned leading up to this chapter! Remember,</t>
    </r>
    <r>
      <rPr>
        <rFont val="Arial"/>
        <b/>
        <color theme="1"/>
        <sz val="11.0"/>
      </rPr>
      <t xml:space="preserve"> thinking only counts when it's out loud!</t>
    </r>
  </si>
  <si>
    <t>Input - {{EMAIL}}</t>
  </si>
  <si>
    <t>Correct Classification</t>
  </si>
  <si>
    <t>User: Please classify this email  into ONE of the categories:
(A) Pre-sale question
(B) Broken or defective item
(C) Billing question
(D) Other (please explain)
: {{EMAIL}}</t>
  </si>
  <si>
    <t>Hi -- My Mixmaster4000 is producing a strange noise when I operate it. It also smells a bit smoky and plasticky, like burning electronics.  I need a replacement.</t>
  </si>
  <si>
    <t>B</t>
  </si>
  <si>
    <t>Can I use my Mixmaster 4000 to mix paint, or is it only meant for mixing food?</t>
  </si>
  <si>
    <t>D or A</t>
  </si>
  <si>
    <t>I HAVE BEEN WAITING 4 MONTHS FOR MY MONTHLY CHARGES TO END AFTER CANCELLING!!  WTF IS GOING ON???</t>
  </si>
  <si>
    <t>C</t>
  </si>
  <si>
    <t>How did I get here I am not good with computer.  Halp.</t>
  </si>
  <si>
    <t>D</t>
  </si>
  <si>
    <r>
      <rPr>
        <rFont val="Arial"/>
        <b/>
        <color theme="1"/>
        <sz val="11.0"/>
      </rPr>
      <t>BONUS QUESTION:</t>
    </r>
    <r>
      <rPr>
        <rFont val="Arial"/>
        <b val="0"/>
        <color theme="1"/>
        <sz val="11.0"/>
      </rPr>
      <t xml:space="preserve"> Time to think like a data scientist! Why is the second email the trickiest one to classify correctly? If the classification is debatable for humans, it's likely also tough for Claude!</t>
    </r>
  </si>
  <si>
    <r>
      <rPr>
        <rFont val="Arial"/>
        <b/>
        <color theme="1"/>
        <sz val="11.0"/>
      </rPr>
      <t xml:space="preserve">Hint: </t>
    </r>
    <r>
      <rPr>
        <rFont val="Arial"/>
        <color theme="1"/>
        <sz val="11.0"/>
      </rPr>
      <t>Let's take this exercise step by step:</t>
    </r>
  </si>
  <si>
    <r>
      <rPr>
        <rFont val="Arial"/>
        <color theme="1"/>
        <sz val="11.0"/>
      </rPr>
      <t xml:space="preserve">How will Claude know what categories you want to use? Tell it! </t>
    </r>
    <r>
      <rPr>
        <rFont val="Arial"/>
        <color theme="1"/>
        <sz val="11.0"/>
        <u/>
      </rPr>
      <t>Include the four categories you want directly in the prompt</t>
    </r>
    <r>
      <rPr>
        <rFont val="Arial"/>
        <color theme="1"/>
        <sz val="11.0"/>
      </rPr>
      <t>. Be sure to include the parenthetical letters as well for easy classification. Feel free to use XML tags to organize your prompt and make clear to Claude where the categories begin and end.</t>
    </r>
  </si>
  <si>
    <r>
      <rPr>
        <rFont val="Arial"/>
        <color theme="1"/>
        <sz val="11.0"/>
      </rPr>
      <t xml:space="preserve">Try to </t>
    </r>
    <r>
      <rPr>
        <rFont val="Arial"/>
        <color theme="1"/>
        <sz val="11.0"/>
        <u/>
      </rPr>
      <t>cut down on superfluous text so that Claude immediately answers with the classification and ONLY the classification</t>
    </r>
    <r>
      <rPr>
        <rFont val="Arial"/>
        <color theme="1"/>
        <sz val="11.0"/>
      </rPr>
      <t xml:space="preserve">. There are several ways to do this, from speaking for Claude (providing anything from the beginning of the sentence to a single open parenthesis so that Claude knows you want the parenthetical letter as the first part of the answer) to telling Claude that you want the classification and only the classification, skipping the preamble.
</t>
    </r>
    <r>
      <rPr>
        <rFont val="Arial"/>
        <i/>
        <color theme="1"/>
        <sz val="11.0"/>
      </rPr>
      <t>Refer to Chapters 2 and 5 if you want a refresher on these techniques.</t>
    </r>
  </si>
  <si>
    <t>Claude may still be incorrectly categorizing or not including the names of the categories when it answers. Fix this by telling Claude to include the full category name in its answer.</t>
  </si>
  <si>
    <t>4.</t>
  </si>
  <si>
    <r>
      <rPr>
        <rFont val="Arial"/>
        <color theme="1"/>
        <sz val="11.0"/>
      </rPr>
      <t xml:space="preserve">Be sure that you still </t>
    </r>
    <r>
      <rPr>
        <rFont val="Arial"/>
        <color theme="1"/>
        <sz val="11.0"/>
        <u/>
      </rPr>
      <t>have {{EMAIL}} somewhere in your prompt</t>
    </r>
    <r>
      <rPr>
        <rFont val="Arial"/>
        <color theme="1"/>
        <sz val="11.0"/>
      </rPr>
      <t xml:space="preserve"> template so that we can properly substitute in emails for Claude to evaluate.</t>
    </r>
  </si>
  <si>
    <t>The conditional formatting in this exercise is looking for the correct categorization letter + the closing parentheses and the first letter of the name of the category, such as "C) B" or "B) B" etc.</t>
  </si>
  <si>
    <t>⁉️</t>
  </si>
  <si>
    <t>Still stuck? Click on the plus sign (➕) on the far left of this row for the answer.</t>
  </si>
  <si>
    <r>
      <rPr>
        <rFont val="Arial"/>
        <b/>
        <color theme="1"/>
        <sz val="11.0"/>
      </rPr>
      <t>Answer:</t>
    </r>
    <r>
      <rPr>
        <rFont val="Arial"/>
        <color theme="1"/>
        <sz val="11.0"/>
      </rPr>
      <t xml:space="preserve"> Below is one way you could go about doing this.</t>
    </r>
  </si>
  <si>
    <t>Prompt Template ANSWER</t>
  </si>
  <si>
    <t>Step in Hint</t>
  </si>
  <si>
    <r>
      <rPr>
        <rFont val="Arial"/>
        <color theme="1"/>
      </rPr>
      <t xml:space="preserve">User: Please classify this email into the following categories: </t>
    </r>
    <r>
      <rPr>
        <rFont val="Arial"/>
        <color rgb="FF9900FF"/>
      </rPr>
      <t>{{EMAIL}}</t>
    </r>
    <r>
      <rPr>
        <rFont val="Arial"/>
        <color theme="1"/>
      </rPr>
      <t xml:space="preserve">
</t>
    </r>
    <r>
      <rPr>
        <rFont val="Arial"/>
        <color rgb="FF34A853"/>
      </rPr>
      <t xml:space="preserve">Do not include any extra words except the category.
</t>
    </r>
    <r>
      <rPr>
        <rFont val="Arial"/>
        <color theme="1"/>
      </rPr>
      <t xml:space="preserve">
</t>
    </r>
    <r>
      <rPr>
        <rFont val="Arial"/>
        <color rgb="FFFF9900"/>
      </rPr>
      <t>&lt;categories&gt;
(A) Pre-sale question
(B) Broken or defective item
(C) Billing question
(D) Other (please explain)
&lt;/categories&gt;</t>
    </r>
    <r>
      <rPr>
        <rFont val="Arial"/>
        <color theme="1"/>
      </rPr>
      <t xml:space="preserve">
Assistant: </t>
    </r>
    <r>
      <rPr>
        <rFont val="Arial"/>
        <color rgb="FF34A853"/>
      </rPr>
      <t>(</t>
    </r>
  </si>
  <si>
    <t>1. Include categories</t>
  </si>
  <si>
    <t>2. Cut down on superfluous text</t>
  </si>
  <si>
    <t>3. Have {{EMAIL}} in the prompt for proper substitution</t>
  </si>
  <si>
    <r>
      <rPr>
        <rFont val="Arial"/>
        <color theme="1"/>
        <sz val="11.0"/>
      </rPr>
      <t xml:space="preserve">In this exercise, we're going to </t>
    </r>
    <r>
      <rPr>
        <rFont val="Arial"/>
        <color theme="1"/>
        <sz val="11.0"/>
        <u/>
      </rPr>
      <t>refine the output of the above prompt to yield an answer formatted exactly how we want it.</t>
    </r>
    <r>
      <rPr>
        <rFont val="Arial"/>
        <color theme="1"/>
        <sz val="11.0"/>
      </rPr>
      <t xml:space="preserve"> 
Use your favorite output formatting technique to </t>
    </r>
    <r>
      <rPr>
        <rFont val="Arial"/>
        <color theme="1"/>
        <sz val="11.0"/>
        <u/>
      </rPr>
      <t xml:space="preserve">make Claude wrap </t>
    </r>
    <r>
      <rPr>
        <rFont val="Arial"/>
        <b/>
        <color theme="1"/>
        <sz val="11.0"/>
        <u/>
      </rPr>
      <t xml:space="preserve">just the letter </t>
    </r>
    <r>
      <rPr>
        <rFont val="Arial"/>
        <color theme="1"/>
        <sz val="11.0"/>
        <u/>
      </rPr>
      <t>of the correct classification in "&lt;answer&gt;&lt;/answer&gt; tags</t>
    </r>
    <r>
      <rPr>
        <rFont val="Arial"/>
        <color theme="1"/>
        <sz val="11.0"/>
      </rPr>
      <t xml:space="preserve">. </t>
    </r>
    <r>
      <rPr>
        <rFont val="Arial"/>
        <i/>
        <color theme="1"/>
        <sz val="11.0"/>
      </rPr>
      <t xml:space="preserve">Refer to the above exercise if you forget which letter is correct for each email.
</t>
    </r>
    <r>
      <rPr>
        <rFont val="Arial"/>
        <color theme="1"/>
        <sz val="11.0"/>
      </rPr>
      <t xml:space="preserve">Claude's response will turn </t>
    </r>
    <r>
      <rPr>
        <rFont val="Arial"/>
        <b/>
        <color rgb="FF34A853"/>
        <sz val="11.0"/>
      </rPr>
      <t>GREEN</t>
    </r>
    <r>
      <rPr>
        <rFont val="Arial"/>
        <color theme="1"/>
        <sz val="11.0"/>
      </rPr>
      <t xml:space="preserve"> if your prompt yields the correct answer. For instance, </t>
    </r>
    <r>
      <rPr>
        <rFont val="Arial"/>
        <color theme="1"/>
        <sz val="11.0"/>
        <u/>
      </rPr>
      <t>the answer to the first email should contain the exact string "&lt;answer&gt;B&lt;/answer&gt;"</t>
    </r>
    <r>
      <rPr>
        <rFont val="Arial"/>
        <color theme="1"/>
        <sz val="11.0"/>
      </rPr>
      <t>.</t>
    </r>
  </si>
  <si>
    <r>
      <rPr>
        <rFont val="Arial"/>
        <b/>
        <color theme="1"/>
        <sz val="11.0"/>
      </rPr>
      <t>Tip:</t>
    </r>
    <r>
      <rPr>
        <rFont val="Arial"/>
        <color theme="1"/>
        <sz val="11.0"/>
      </rPr>
      <t xml:space="preserve"> As a first step, </t>
    </r>
    <r>
      <rPr>
        <rFont val="Arial"/>
        <color theme="1"/>
        <sz val="11.0"/>
        <u/>
      </rPr>
      <t>copy the final correct version of your prompt from Exercise 1 down into the highlighted prompt template box below</t>
    </r>
    <r>
      <rPr>
        <rFont val="Arial"/>
        <color theme="1"/>
        <sz val="11.0"/>
      </rPr>
      <t>. Then edit and refine your initial prompt from there.</t>
    </r>
  </si>
  <si>
    <r>
      <rPr>
        <rFont val="Arial"/>
        <b/>
        <color theme="1"/>
        <sz val="11.0"/>
      </rPr>
      <t>Note:</t>
    </r>
    <r>
      <rPr>
        <rFont val="Arial"/>
        <color theme="1"/>
        <sz val="11.0"/>
      </rPr>
      <t xml:space="preserve"> In this exercise, you can see that </t>
    </r>
    <r>
      <rPr>
        <rFont val="Arial"/>
        <b/>
        <color theme="1"/>
        <sz val="11.0"/>
      </rPr>
      <t>Claude in Sheets is a powerful prompt evaluation tool</t>
    </r>
    <r>
      <rPr>
        <rFont val="Arial"/>
        <color theme="1"/>
        <sz val="11.0"/>
      </rPr>
      <t xml:space="preserve">. Using substitutions, you can </t>
    </r>
    <r>
      <rPr>
        <rFont val="Arial"/>
        <color theme="1"/>
        <sz val="11.0"/>
        <u/>
      </rPr>
      <t>easily check how well a prompt does in multiple contexts</t>
    </r>
    <r>
      <rPr>
        <rFont val="Arial"/>
        <color theme="1"/>
        <sz val="11.0"/>
      </rPr>
      <t xml:space="preserve"> by only modifying one prompt and yielding several responses from Claude as a result. Here, we evaluate the prompt across four instances, but you can easily expand this evaluation to as many rows as needed.</t>
    </r>
  </si>
  <si>
    <t>User: Please classify this email  into ONE of the categories:
(A) Pre-sale question
(B) Broken or defective item
(C) Billing question
(D) Other (please explain)
Respond ONLY the classification letter wrapped with XML tags:
&lt;answer&lt;B&lt;/answer&gt; 
Do not include explanations or category names.
: {{EMAIL}}</t>
  </si>
  <si>
    <r>
      <rPr>
        <rFont val="Arial"/>
        <b/>
        <color theme="1"/>
        <sz val="11.0"/>
      </rPr>
      <t>Hint:</t>
    </r>
    <r>
      <rPr>
        <rFont val="Arial"/>
        <color theme="1"/>
        <sz val="11.0"/>
      </rPr>
      <t xml:space="preserve"> Sometimes the simplest way to go about this is to give Claude an example of how you want its output to look. Just don't forget that if you prefill Claude's response with anything, Claude won't actually output that as part of its response.
The conditional formatting in this exercise is looking for </t>
    </r>
    <r>
      <rPr>
        <rFont val="Arial"/>
        <b/>
        <color theme="1"/>
        <sz val="11.0"/>
      </rPr>
      <t>only</t>
    </r>
    <r>
      <rPr>
        <rFont val="Arial"/>
        <color theme="1"/>
        <sz val="11.0"/>
      </rPr>
      <t xml:space="preserve"> the correct letter wrapped in &lt;answer&gt; tags, such as "&lt;answer&gt;B&lt;/answer&gt;". The correct categorization letters are the same as in the above exercise. </t>
    </r>
  </si>
  <si>
    <t>← Chapter 6: Precognition (Thinking Step by Step)</t>
  </si>
  <si>
    <t>Chapter 7: Using Examples (Few-Shot Prompting) →</t>
  </si>
  <si>
    <t>Chapter 7: Using Examples (Few-Shot Prompting)</t>
  </si>
  <si>
    <r>
      <rPr>
        <rFont val="Arial"/>
        <b/>
        <color rgb="FF1F1F1F"/>
        <sz val="11.0"/>
      </rPr>
      <t xml:space="preserve">Giving Claude examples of how you want it to behave (or how you want it </t>
    </r>
    <r>
      <rPr>
        <rFont val="Arial"/>
        <b/>
        <i/>
        <color rgb="FF1F1F1F"/>
        <sz val="11.0"/>
      </rPr>
      <t>not</t>
    </r>
    <r>
      <rPr>
        <rFont val="Arial"/>
        <b/>
        <color rgb="FF1F1F1F"/>
        <sz val="11.0"/>
      </rPr>
      <t xml:space="preserve"> to behave) is extremely effective</t>
    </r>
    <r>
      <rPr>
        <rFont val="Arial"/>
        <color rgb="FF1F1F1F"/>
        <sz val="11.0"/>
      </rPr>
      <t xml:space="preserve"> for:
- Getting the right answer
- Getting the answer in the right format
This sort of prompting is also called </t>
    </r>
    <r>
      <rPr>
        <rFont val="Arial"/>
        <b/>
        <color rgb="FF1F1F1F"/>
        <sz val="11.0"/>
      </rPr>
      <t>"few shot prompting"</t>
    </r>
    <r>
      <rPr>
        <rFont val="Arial"/>
        <color rgb="FF1F1F1F"/>
        <sz val="11.0"/>
      </rPr>
      <t>. You might also encounter the phrase "zero-shot" or "n-shot" or "one-shot". The number of "shots" refers to how many examples are used within the prompt.</t>
    </r>
  </si>
  <si>
    <r>
      <rPr>
        <rFont val="Arial"/>
        <color theme="1"/>
        <sz val="11.0"/>
      </rPr>
      <t xml:space="preserve">Pretend you're a developer trying to build a "parent bot" that responds to questions from kids. </t>
    </r>
    <r>
      <rPr>
        <rFont val="Arial"/>
        <color theme="1"/>
        <sz val="11.0"/>
        <u/>
      </rPr>
      <t>Claude's default response is quite formal and robotic</t>
    </r>
    <r>
      <rPr>
        <rFont val="Arial"/>
        <color theme="1"/>
        <sz val="11.0"/>
      </rPr>
      <t>. This is going to break a child's heart.</t>
    </r>
  </si>
  <si>
    <t>User: Will Santa bring me presents on Christmas?</t>
  </si>
  <si>
    <r>
      <rPr>
        <rFont val="Arial"/>
        <color theme="1"/>
        <sz val="11.0"/>
      </rPr>
      <t xml:space="preserve">You could take the time to describe your desired tone, but it's much easier just to </t>
    </r>
    <r>
      <rPr>
        <rFont val="Arial"/>
        <color theme="1"/>
        <sz val="11.0"/>
        <u/>
      </rPr>
      <t>give Claude a few examples of ideal responses</t>
    </r>
    <r>
      <rPr>
        <rFont val="Arial"/>
        <color theme="1"/>
        <sz val="11.0"/>
      </rPr>
      <t>.</t>
    </r>
  </si>
  <si>
    <t>User: Please complete the conversation by writing the next line, speaking as "A".
Q: Is the tooth fairy real?
A: Of course, sweetie. Wrap up your tooth and put it under your pillow tonight. There might be something waiting for you in the morning.
Q: Will Santa bring me presents on Christmas?</t>
  </si>
  <si>
    <r>
      <rPr>
        <rFont val="Arial"/>
        <color theme="1"/>
        <sz val="11.0"/>
      </rPr>
      <t xml:space="preserve">In the following formatting example, we </t>
    </r>
    <r>
      <rPr>
        <rFont val="Arial"/>
        <i/>
        <color theme="1"/>
        <sz val="11.0"/>
      </rPr>
      <t>could</t>
    </r>
    <r>
      <rPr>
        <rFont val="Arial"/>
        <color theme="1"/>
        <sz val="11.0"/>
      </rPr>
      <t xml:space="preserve"> walk Claude step by step through a set of formatting instructions on how to extract names and professions and then format them exactly the way we want, or we could just </t>
    </r>
    <r>
      <rPr>
        <rFont val="Arial"/>
        <color theme="1"/>
        <sz val="11.0"/>
        <u/>
      </rPr>
      <t>provide Claude with some correctly-formatted examples and Claude can extrapolate from there</t>
    </r>
    <r>
      <rPr>
        <rFont val="Arial"/>
        <color theme="1"/>
        <sz val="11.0"/>
      </rPr>
      <t xml:space="preserve">. Note the "&lt;individuals&gt;" after "Assistant:" to start Claude off on the right foot.
</t>
    </r>
    <r>
      <rPr>
        <rFont val="Arial"/>
        <b/>
        <color theme="1"/>
        <sz val="11.0"/>
      </rPr>
      <t>Tip:</t>
    </r>
    <r>
      <rPr>
        <rFont val="Arial"/>
        <color theme="1"/>
        <sz val="11.0"/>
      </rPr>
      <t xml:space="preserve"> Double click on the prompt cell to scroll through the entire long prompt.</t>
    </r>
  </si>
  <si>
    <t>User: Silvermist Hollow, a charming village, was home to an extraordinary group of individuals. Among them was Dr. Liam Patel, a neurosurgeon who revolutionized surgical techniques at the regional medical center. Olivia Chen was an innovative architect who transformed the village's landscape with her sustainable and breathtaking designs. The local theater was graced by the enchanting symphonies of Ethan Kovacs, a professionally-trained musician and composer. Isabella Torres, a self-taught chef with a passion for locally sourced ingredients, created a culinary sensation with her farm-to-table restaurant, which became a must-visit destination for food lovers. These remarkable individuals, each with their distinct talents, contributed to the vibrant tapestry of life in Silvermist Hollow.
&lt;individuals&gt;
1. Dr. Liam Patel [NEUROSURGEON]
2. Olivia Chen [ARCHITECT]
3. Ethan Kovacs [MISICIAN AND COMPOSER]
4. Isabella Torres [CHEF]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</si>
  <si>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</si>
  <si>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7 Exercises: Using Examples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</si>
  <si>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</si>
  <si>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User: In the bustling town of Emerald Hills, a diverse group of individuals made their mark. Sarah Martinez, a dedicated nurse, was known for her compassionate care at the local hospital. David Thompson, an innovative software engineer, worked tirelessly on groundbreaking projects that would revolutionize the tech industry. Meanwhile, Emily Nakamura, a talented artist and muralist, painted vibrant and thought-provoking pieces that adorned the walls of buildings and galleries alike. Lastly, Michael O'Connell, an ambitious entrepreneur, opened a unique, eco-friendly cafe that quickly became the town's favorite meeting spot. Each of these individuals contributed to the rich tapestry of the Emerald Hills community.
&lt;individuals&gt;
1. Sarah Martinez [NURSE]
2. David Thompson [SOFTWARE ENGINEER]
3. Emily Nakamura [ARTIST]
4. Michael O'Connell [ENTREPRENEUR]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</si>
  <si>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t>← Chapter 6 Exercises: Precognition (Thinking Step by Step)</t>
  </si>
  <si>
    <t>Chapter 7: Using Examples (Few-Shot Prompting) - Exercises</t>
  </si>
  <si>
    <t>Exercise 7.1 - Email Formatting via Examples</t>
  </si>
  <si>
    <r>
      <rPr>
        <rFont val="Arial"/>
        <color theme="1"/>
        <sz val="11.0"/>
      </rPr>
      <t xml:space="preserve">We're going to redo Exercise 2 in Chapter 6, but this time, we're going to edit the yellow-highlighted Prompt Template box to </t>
    </r>
    <r>
      <rPr>
        <rFont val="Arial"/>
        <color theme="1"/>
        <sz val="11.0"/>
        <u/>
      </rPr>
      <t>use "few-shot" examples of emails + proper classification (and formatting) to get Claude to output the correct answer</t>
    </r>
    <r>
      <rPr>
        <rFont val="Arial"/>
        <color theme="1"/>
        <sz val="11.0"/>
      </rPr>
      <t xml:space="preserve">. We want the </t>
    </r>
    <r>
      <rPr>
        <rFont val="Arial"/>
        <b/>
        <color theme="1"/>
        <sz val="11.0"/>
        <u/>
      </rPr>
      <t>last letter</t>
    </r>
    <r>
      <rPr>
        <rFont val="Arial"/>
        <color theme="1"/>
        <sz val="11.0"/>
        <u/>
      </rPr>
      <t xml:space="preserve"> of Claude's output to be the letter of the category</t>
    </r>
    <r>
      <rPr>
        <rFont val="Arial"/>
        <color theme="1"/>
        <sz val="11.0"/>
      </rPr>
      <t xml:space="preserve">. </t>
    </r>
    <r>
      <rPr>
        <rFont val="Arial"/>
        <i/>
        <color theme="1"/>
        <sz val="11.0"/>
      </rPr>
      <t xml:space="preserve">Refer back to Chapter 6 Exercise 1 if you've forgotten the correct categories for each email.
</t>
    </r>
    <r>
      <rPr>
        <rFont val="Arial"/>
        <color theme="1"/>
        <sz val="11.0"/>
      </rPr>
      <t xml:space="preserve">Claude's response will turn </t>
    </r>
    <r>
      <rPr>
        <rFont val="Arial"/>
        <b/>
        <color rgb="FF34A853"/>
        <sz val="11.0"/>
      </rPr>
      <t>GREEN</t>
    </r>
    <r>
      <rPr>
        <rFont val="Arial"/>
        <color theme="1"/>
        <sz val="11.0"/>
      </rPr>
      <t xml:space="preserve"> if your prompt yields the correct answer.</t>
    </r>
  </si>
  <si>
    <t>Remember that these are the categories for the emails:</t>
  </si>
  <si>
    <t>Last Letter</t>
  </si>
  <si>
    <t xml:space="preserve">User: You are an email classification assistant.
Classify the email into ONE of the following categories.
Do NOT include explanations.
Output ONLY the category letter.
&lt;categories&gt;
(A) Pre-sale question
(B) Broken or defective item
(C) Billing question
(D) Other
&lt;/categories&gt;
Here are examples of correct formatting:
&lt;examples&gt;
Email:
How much does the Mixmaster4000 cost?
Answer:
A
Email:
My Mixmaster won’t turn on.
Answer:
B
Email:
Please remove me from your mailing list.
Answer:
D
&lt;/examples&gt;
Now classify the following email:
Email:
{{EMAIL}}
Answer:
</t>
  </si>
  <si>
    <r>
      <rPr>
        <rFont val="Arial"/>
        <b/>
        <color theme="1"/>
        <sz val="11.0"/>
      </rPr>
      <t xml:space="preserve">Hint: </t>
    </r>
    <r>
      <rPr>
        <rFont val="Arial"/>
        <color theme="1"/>
        <sz val="11.0"/>
      </rPr>
      <t xml:space="preserve">You're going to have to </t>
    </r>
    <r>
      <rPr>
        <rFont val="Arial"/>
        <color theme="1"/>
        <sz val="11.0"/>
        <u/>
      </rPr>
      <t>write some example emails and classify them for Claude</t>
    </r>
    <r>
      <rPr>
        <rFont val="Arial"/>
        <color theme="1"/>
        <sz val="11.0"/>
      </rPr>
      <t xml:space="preserve"> (with the exact formatting you want). There are multiple ways to do this. Here are some guidelines below.</t>
    </r>
  </si>
  <si>
    <r>
      <rPr>
        <rFont val="Arial"/>
        <color theme="1"/>
        <sz val="11.0"/>
        <u/>
      </rPr>
      <t>Try to have at least two example emails</t>
    </r>
    <r>
      <rPr>
        <rFont val="Arial"/>
        <color theme="1"/>
        <sz val="11.0"/>
      </rPr>
      <t>. Claude doesn't need an example for all categories, and the examples don't have to be long. It's more helpful to h</t>
    </r>
    <r>
      <rPr>
        <rFont val="Arial"/>
        <color theme="1"/>
        <sz val="11.0"/>
        <u/>
      </rPr>
      <t>ave examples for whatever you think the trickier categories are</t>
    </r>
    <r>
      <rPr>
        <rFont val="Arial"/>
        <color theme="1"/>
        <sz val="11.0"/>
      </rPr>
      <t xml:space="preserve"> (which you were asked to think about at the bottom of Chapter 6 Exercise 1). XML tags will help you separate out your examples from the rest of your prompt, although it's unnecessary.</t>
    </r>
  </si>
  <si>
    <r>
      <rPr>
        <rFont val="Arial"/>
        <color theme="1"/>
        <sz val="11.0"/>
      </rPr>
      <t xml:space="preserve">Make sure your </t>
    </r>
    <r>
      <rPr>
        <rFont val="Arial"/>
        <color theme="1"/>
        <sz val="11.0"/>
        <u/>
      </rPr>
      <t>example answer formatting is exactly the format you want Claude to use</t>
    </r>
    <r>
      <rPr>
        <rFont val="Arial"/>
        <color theme="1"/>
        <sz val="11.0"/>
      </rPr>
      <t xml:space="preserve">, so Claude can emulate the format as well. This format should make it so that Claude's answer ends in the letter of the category. </t>
    </r>
    <r>
      <rPr>
        <rFont val="Arial"/>
        <color theme="1"/>
        <sz val="11.0"/>
        <u/>
      </rPr>
      <t>Wherever you put the {{EMAIL}} placeholder, make sure that it's formatted exactly like your example emails</t>
    </r>
    <r>
      <rPr>
        <rFont val="Arial"/>
        <color theme="1"/>
        <sz val="11.0"/>
      </rPr>
      <t>.</t>
    </r>
  </si>
  <si>
    <r>
      <rPr>
        <rFont val="Arial"/>
        <color theme="1"/>
        <sz val="11.0"/>
      </rPr>
      <t xml:space="preserve">Make sure you still </t>
    </r>
    <r>
      <rPr>
        <rFont val="Arial"/>
        <color theme="1"/>
        <sz val="11.0"/>
        <u/>
      </rPr>
      <t>have the categories listed</t>
    </r>
    <r>
      <rPr>
        <rFont val="Arial"/>
        <color theme="1"/>
        <sz val="11.0"/>
      </rPr>
      <t xml:space="preserve"> within the prompt itself, otherwise Claude won't know what categories to reference, as well as {</t>
    </r>
    <r>
      <rPr>
        <rFont val="Arial"/>
        <color theme="1"/>
        <sz val="11.0"/>
        <u/>
      </rPr>
      <t>{EMAIL}} as a placeholder</t>
    </r>
    <r>
      <rPr>
        <rFont val="Arial"/>
        <color theme="1"/>
        <sz val="11.0"/>
      </rPr>
      <t xml:space="preserve"> for substitution.</t>
    </r>
  </si>
  <si>
    <t>The conditional formatting of this exercise is looking for a response where the very last character of your response is the correct categorization letter ("B", "C", etc.). The letters in column K should match the letters in the blue cells in the chapter 6.1 exercise.</t>
  </si>
  <si>
    <r>
      <rPr>
        <rFont val="Arial"/>
        <b/>
        <color theme="1"/>
        <sz val="11.0"/>
      </rPr>
      <t>Answer:</t>
    </r>
    <r>
      <rPr>
        <rFont val="Arial"/>
        <color theme="1"/>
        <sz val="11.0"/>
      </rPr>
      <t xml:space="preserve"> Below is one way you could go about doing this.</t>
    </r>
  </si>
  <si>
    <r>
      <rPr>
        <rFont val="Arial"/>
        <color theme="1"/>
      </rPr>
      <t xml:space="preserve">User: Please classify emails into the following categories, and do not include explanations: 
</t>
    </r>
    <r>
      <rPr>
        <rFont val="Arial"/>
        <color rgb="FF9900FF"/>
      </rPr>
      <t xml:space="preserve">&lt;categories&gt;
(A) Pre-sale question
(B) Broken or defective item
(C) Billing question
(D) Other (please explain)
&lt;/categories&gt;
Here are a few examples of correct answer formatting:
&lt;examples&gt;
</t>
    </r>
    <r>
      <rPr>
        <rFont val="Arial"/>
        <color rgb="FFFF9900"/>
      </rPr>
      <t>Q: How much does it cost to buy a Mixmaster4000?</t>
    </r>
    <r>
      <rPr>
        <rFont val="Arial"/>
        <color rgb="FF9900FF"/>
      </rPr>
      <t xml:space="preserve">
</t>
    </r>
    <r>
      <rPr>
        <rFont val="Arial"/>
        <color rgb="FF34A853"/>
      </rPr>
      <t xml:space="preserve">A: The correct category is: A
</t>
    </r>
    <r>
      <rPr>
        <rFont val="Arial"/>
        <color rgb="FFFF9900"/>
      </rPr>
      <t>Q: My Mixmaster won't turn on.</t>
    </r>
    <r>
      <rPr>
        <rFont val="Arial"/>
        <color rgb="FF9900FF"/>
      </rPr>
      <t xml:space="preserve">
</t>
    </r>
    <r>
      <rPr>
        <rFont val="Arial"/>
        <color rgb="FF34A853"/>
      </rPr>
      <t xml:space="preserve">A: The correct category is: B
</t>
    </r>
    <r>
      <rPr>
        <rFont val="Arial"/>
        <color rgb="FFFF9900"/>
      </rPr>
      <t>Q: Please remove me from your mailing list.</t>
    </r>
    <r>
      <rPr>
        <rFont val="Arial"/>
        <color rgb="FF9900FF"/>
      </rPr>
      <t xml:space="preserve">
</t>
    </r>
    <r>
      <rPr>
        <rFont val="Arial"/>
        <color rgb="FF34A853"/>
      </rPr>
      <t>A: The correct category is: D</t>
    </r>
    <r>
      <rPr>
        <rFont val="Arial"/>
        <color rgb="FF9900FF"/>
      </rPr>
      <t xml:space="preserve">
&lt;/examples&gt;
Here is the email for you to categorize: {{EMAIL}}</t>
    </r>
    <r>
      <rPr>
        <rFont val="Arial"/>
        <color theme="1"/>
      </rPr>
      <t xml:space="preserve">
Assistant: </t>
    </r>
    <r>
      <rPr>
        <rFont val="Arial"/>
        <color rgb="FF34A853"/>
      </rPr>
      <t>The correct category is:</t>
    </r>
  </si>
  <si>
    <t>1. Have at least two example emails</t>
  </si>
  <si>
    <t>2. Have correct answer formatting</t>
  </si>
  <si>
    <t>4. Have {{EMAIL}} + categories</t>
  </si>
  <si>
    <t>← Chapter 7: Using Examples (Few-Shot Prompting)</t>
  </si>
  <si>
    <t>Chapter 8: Avoiding Hallucinations →</t>
  </si>
  <si>
    <t>-</t>
  </si>
  <si>
    <r>
      <rPr>
        <rFont val="Arial"/>
        <color rgb="FF1F1F1F"/>
        <sz val="11.0"/>
      </rPr>
      <t xml:space="preserve">Some bad news: </t>
    </r>
    <r>
      <rPr>
        <rFont val="Arial"/>
        <b/>
        <color rgb="FF1F1F1F"/>
        <sz val="11.0"/>
      </rPr>
      <t>Claude sometimes "hallucinates"</t>
    </r>
    <r>
      <rPr>
        <rFont val="Arial"/>
        <color rgb="FF1F1F1F"/>
        <sz val="11.0"/>
      </rPr>
      <t xml:space="preserve"> </t>
    </r>
    <r>
      <rPr>
        <rFont val="Arial"/>
        <b/>
        <color rgb="FF1F1F1F"/>
        <sz val="11.0"/>
      </rPr>
      <t>and makes claims that are untrue or unjustified.</t>
    </r>
    <r>
      <rPr>
        <rFont val="Arial"/>
        <color rgb="FF1F1F1F"/>
        <sz val="11.0"/>
      </rPr>
      <t xml:space="preserve"> The good news: there are techniques you can use to minimize hallucinations.</t>
    </r>
  </si>
  <si>
    <t>Below, we'll go over a few of these techniques, namely:</t>
  </si>
  <si>
    <t>Giving Claude the option to say it doesn't know the answer to a question</t>
  </si>
  <si>
    <t>Asking Claude to find evidence before answering</t>
  </si>
  <si>
    <r>
      <rPr>
        <color rgb="FF1F1F1F"/>
        <sz val="11.0"/>
      </rPr>
      <t xml:space="preserve">
However, </t>
    </r>
    <r>
      <rPr>
        <b/>
        <color rgb="FF1F1F1F"/>
        <sz val="11.0"/>
      </rPr>
      <t xml:space="preserve">there are many </t>
    </r>
    <r>
      <rPr>
        <b/>
        <color rgb="FF1155CC"/>
        <sz val="11.0"/>
        <u/>
      </rPr>
      <t>methods to avoid hallucinations</t>
    </r>
    <r>
      <rPr>
        <color rgb="FF1F1F1F"/>
        <sz val="11.0"/>
      </rPr>
      <t>, including many of the techniques you've already learned in this course. If Claude hallucinates, experiment with multiple techniques to get Claude to increase its accuracy.</t>
    </r>
  </si>
  <si>
    <r>
      <rPr>
        <rFont val="Arial"/>
        <color theme="1"/>
        <sz val="11.0"/>
      </rPr>
      <t xml:space="preserve">Here is a question about general factual knowledge in answer to which </t>
    </r>
    <r>
      <rPr>
        <rFont val="Arial"/>
        <color theme="1"/>
        <sz val="11.0"/>
        <u/>
      </rPr>
      <t>Claude hallucinates several large hippos because it's trying to be as helpful as possible</t>
    </r>
    <r>
      <rPr>
        <rFont val="Arial"/>
        <color theme="1"/>
        <sz val="11.0"/>
      </rPr>
      <t>.</t>
    </r>
  </si>
  <si>
    <t>User: Who is the heaviest hippo of all time?</t>
  </si>
  <si>
    <r>
      <rPr>
        <rFont val="Arial"/>
        <color theme="1"/>
        <sz val="11.0"/>
      </rPr>
      <t xml:space="preserve">A solution we can try here is to </t>
    </r>
    <r>
      <rPr>
        <rFont val="Arial"/>
        <color theme="1"/>
        <sz val="11.0"/>
        <u/>
      </rPr>
      <t>"give Claude an out"</t>
    </r>
    <r>
      <rPr>
        <rFont val="Arial"/>
        <color theme="1"/>
        <sz val="11.0"/>
      </rPr>
      <t xml:space="preserve"> — tell Claude that it's OK for it to decline to answer, or to only answer if it actually knows the answer with certainty.</t>
    </r>
  </si>
  <si>
    <t>User: Who is the heaviest hippo of all time? Only answer if you know the answer with certainty.</t>
  </si>
  <si>
    <r>
      <rPr>
        <rFont val="Arial"/>
        <color theme="1"/>
        <sz val="11.0"/>
      </rPr>
      <t xml:space="preserve">In the prompt below, we give Claude a long document containing some "distractor information" that is almost but not quite relevant to the user's question. </t>
    </r>
    <r>
      <rPr>
        <rFont val="Arial"/>
        <color theme="1"/>
        <sz val="11.0"/>
        <u/>
      </rPr>
      <t>Without prompting help, Claude falls for the distractor information</t>
    </r>
    <r>
      <rPr>
        <rFont val="Arial"/>
        <color theme="1"/>
        <sz val="11.0"/>
      </rPr>
      <t xml:space="preserve"> and gives an incorrect "hallucinated" answer as to the size of Matterport's subscriber base as of May 31, 2020.
</t>
    </r>
    <r>
      <rPr>
        <rFont val="Arial"/>
        <b/>
        <color theme="1"/>
        <sz val="11.0"/>
      </rPr>
      <t>Note:</t>
    </r>
    <r>
      <rPr>
        <rFont val="Arial"/>
        <color theme="1"/>
        <sz val="11.0"/>
      </rPr>
      <t xml:space="preserve"> As you'll learn later in the next chapter, </t>
    </r>
    <r>
      <rPr>
        <rFont val="Arial"/>
        <b/>
        <color theme="1"/>
        <sz val="11.0"/>
      </rPr>
      <t xml:space="preserve">it's best practice to have the question at the bottom </t>
    </r>
    <r>
      <rPr>
        <rFont val="Arial"/>
        <b/>
        <i/>
        <color theme="1"/>
        <sz val="11.0"/>
      </rPr>
      <t>after</t>
    </r>
    <r>
      <rPr>
        <rFont val="Arial"/>
        <b/>
        <color theme="1"/>
        <sz val="11.0"/>
      </rPr>
      <t xml:space="preserve"> any text or document</t>
    </r>
    <r>
      <rPr>
        <rFont val="Arial"/>
        <color theme="1"/>
        <sz val="11.0"/>
      </rPr>
      <t>, but we put it at the top here to make the prompt easier to read. Feel free to double click on the prompt cell to get the full prompt text (it's very long!).</t>
    </r>
  </si>
  <si>
    <r>
      <rPr>
        <rFont val="Arial"/>
        <color theme="1"/>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</si>
  <si>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color theme="1"/>
        <sz val="11.0"/>
      </rPr>
      <t xml:space="preserve">How do we fix this? Well, </t>
    </r>
    <r>
      <rPr>
        <rFont val="Arial"/>
        <b/>
        <color theme="1"/>
        <sz val="11.0"/>
      </rPr>
      <t>a great way to reduce hallucinations on long documents is to make Claude gather evidence first</t>
    </r>
    <r>
      <rPr>
        <rFont val="Arial"/>
        <color theme="1"/>
        <sz val="11.0"/>
      </rPr>
      <t xml:space="preserve">. 
In this case, we </t>
    </r>
    <r>
      <rPr>
        <rFont val="Arial"/>
        <color theme="1"/>
        <sz val="11.0"/>
        <u/>
      </rPr>
      <t>tell Claude to first extract relevant quotes, then base its answer on those quotes</t>
    </r>
    <r>
      <rPr>
        <rFont val="Arial"/>
        <color theme="1"/>
        <sz val="11.0"/>
      </rPr>
      <t>. Telling Claude to do so here makes it correctly notice that the quote does not answer the question.</t>
    </r>
  </si>
  <si>
    <r>
      <rPr>
        <rFont val="Arial"/>
        <color theme="1"/>
      </rPr>
      <t xml:space="preserve">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</si>
  <si>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b/>
        <sz val="11.0"/>
      </rPr>
      <t>Bonus lesson:</t>
    </r>
    <r>
      <rPr>
        <sz val="11.0"/>
      </rPr>
      <t xml:space="preserve"> Sometimes, </t>
    </r>
    <r>
      <rPr>
        <b/>
        <sz val="11.0"/>
      </rPr>
      <t>Claude's hallucinations can be solved by lowering the "temperature" of Claude's responses</t>
    </r>
    <r>
      <rPr>
        <sz val="11.0"/>
      </rPr>
      <t xml:space="preserve">. </t>
    </r>
    <r>
      <rPr>
        <sz val="11.0"/>
        <u/>
      </rPr>
      <t>Temperature is a measurement of answer creativity between 0 and 1</t>
    </r>
    <r>
      <rPr>
        <sz val="11.0"/>
      </rPr>
      <t xml:space="preserve">, with 1 being more unpredictable and less standardized, and 0 being the most consistent. 
Asking Claude something at temperature 0 will generally yield an almost-deterministic answer set across repeated trials (although complete determinism is not guaranteed). Asking Claude something at temperature 1 (or gradations in between) will yield more variable answers. Learn more about temperature and other parameters </t>
    </r>
    <r>
      <rPr>
        <color rgb="FF1155CC"/>
        <sz val="11.0"/>
        <u/>
      </rPr>
      <t>here</t>
    </r>
    <r>
      <rPr>
        <sz val="11.0"/>
      </rPr>
      <t>.</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</si>
  <si>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</si>
  <si>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8 Exercises: Avoiding Hallucinations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</si>
  <si>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</si>
  <si>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r>
      <rPr>
        <rFont val="Arial"/>
        <color theme="1"/>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</si>
  <si>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color theme="1"/>
      </rPr>
      <t xml:space="preserve">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</si>
  <si>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t>← Chapter 7 Exercises: Using Examples (Few-Shot Prompting)</t>
  </si>
  <si>
    <t>Chapter 8: Avoiding Hallucinations - Exercises</t>
  </si>
  <si>
    <t>Exercise 8.1 - Beyoncé Hallucination</t>
  </si>
  <si>
    <t>Exercise 8.2 - Prospectus Hallucination</t>
  </si>
  <si>
    <r>
      <rPr>
        <rFont val="Arial"/>
        <color theme="1"/>
        <sz val="11.0"/>
      </rPr>
      <t xml:space="preserve">Adapt the prompt in the </t>
    </r>
    <r>
      <rPr>
        <rFont val="Arial"/>
        <b/>
        <color rgb="FFBF9000"/>
        <sz val="11.0"/>
      </rPr>
      <t>YELLOW</t>
    </r>
    <r>
      <rPr>
        <rFont val="Arial"/>
        <color theme="1"/>
        <sz val="11.0"/>
      </rPr>
      <t xml:space="preserve"> prompt box to </t>
    </r>
    <r>
      <rPr>
        <rFont val="Arial"/>
        <color theme="1"/>
        <sz val="11.0"/>
        <u/>
      </rPr>
      <t>fix Claude's hallucination issue by giving Claude an out.</t>
    </r>
    <r>
      <rPr>
        <rFont val="Arial"/>
        <color theme="1"/>
        <sz val="11.0"/>
      </rPr>
      <t xml:space="preserve"> (Renaissance is Beyoncé's seventh studio album, not her eighth.) 
If your answer is correct, Claude's response cell will turn </t>
    </r>
    <r>
      <rPr>
        <rFont val="Arial"/>
        <b/>
        <color rgb="FF34A853"/>
        <sz val="11.0"/>
      </rPr>
      <t>GREEN</t>
    </r>
    <r>
      <rPr>
        <rFont val="Arial"/>
        <color theme="1"/>
        <sz val="11.0"/>
      </rPr>
      <t>.</t>
    </r>
  </si>
  <si>
    <t>User: In what year did star performer Beyoncé release her eighth studio album?
 Only answer if you know with high confidence. 
If you are not certain, say " I don't know" and explain what information would be needed.</t>
  </si>
  <si>
    <r>
      <rPr>
        <rFont val="Arial"/>
        <b/>
        <color rgb="FF000000"/>
        <sz val="11.0"/>
      </rPr>
      <t xml:space="preserve">Hint: </t>
    </r>
    <r>
      <rPr>
        <rFont val="Arial"/>
        <color rgb="FF000000"/>
        <sz val="11.0"/>
      </rPr>
      <t xml:space="preserve">What should Claude do if it doesn't know the answer?
The conditional formatting in this exercise is looking for a response that contains the phrase "I do not", "I don't", or "Unfortunately", and does </t>
    </r>
    <r>
      <rPr>
        <rFont val="Arial"/>
        <b/>
        <color rgb="FF000000"/>
        <sz val="11.0"/>
      </rPr>
      <t>not</t>
    </r>
    <r>
      <rPr>
        <rFont val="Arial"/>
        <color rgb="FF000000"/>
        <sz val="11.0"/>
      </rPr>
      <t xml:space="preserve"> contain "2022".</t>
    </r>
  </si>
  <si>
    <r>
      <rPr>
        <rFont val="Arial"/>
        <color theme="1"/>
        <sz val="11.0"/>
      </rPr>
      <t xml:space="preserve">Modify the prompt in the </t>
    </r>
    <r>
      <rPr>
        <rFont val="Arial"/>
        <b/>
        <color rgb="FFBF9000"/>
        <sz val="11.0"/>
      </rPr>
      <t>YELLOW</t>
    </r>
    <r>
      <rPr>
        <rFont val="Arial"/>
        <color theme="1"/>
        <sz val="11.0"/>
      </rPr>
      <t xml:space="preserve"> prompt box to </t>
    </r>
    <r>
      <rPr>
        <rFont val="Arial"/>
        <color theme="1"/>
        <sz val="11.0"/>
        <u/>
      </rPr>
      <t>fix Claude's hallucination issue by asking for citations.</t>
    </r>
    <r>
      <rPr>
        <rFont val="Arial"/>
        <color theme="1"/>
        <sz val="11.0"/>
      </rPr>
      <t xml:space="preserve"> The correct answer is that subscribers went up 49x. 
If your answer is correct, Claude's response cell will turn </t>
    </r>
    <r>
      <rPr>
        <rFont val="Arial"/>
        <b/>
        <color rgb="FF34A853"/>
        <sz val="11.0"/>
      </rPr>
      <t>GREEN</t>
    </r>
    <r>
      <rPr>
        <rFont val="Arial"/>
        <color theme="1"/>
        <sz val="11.0"/>
      </rPr>
      <t>.</t>
    </r>
  </si>
  <si>
    <r>
      <rPr>
        <rFont val="Arial"/>
        <color theme="1"/>
      </rPr>
      <t xml:space="preserve">User: &lt;question&gt; From December 2018 to December 2022, by what amount did Matterport's subscribers grow? &lt;/question&gt;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</si>
  <si>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b/>
        <color rgb="FF000000"/>
        <sz val="11.0"/>
      </rPr>
      <t xml:space="preserve">Hint: </t>
    </r>
    <r>
      <rPr>
        <rFont val="Arial"/>
        <color rgb="FF000000"/>
        <sz val="11.0"/>
      </rPr>
      <t xml:space="preserve">Make Claude </t>
    </r>
    <r>
      <rPr>
        <rFont val="Arial"/>
        <color rgb="FF000000"/>
        <sz val="11.0"/>
        <u/>
      </rPr>
      <t>show its work and thought process first by extracting relevant quotes</t>
    </r>
    <r>
      <rPr>
        <rFont val="Arial"/>
        <color rgb="FF000000"/>
        <sz val="11.0"/>
      </rPr>
      <t xml:space="preserve"> and seeing whether or not the quotes provide sufficient evidence. </t>
    </r>
    <r>
      <rPr>
        <rFont val="Arial"/>
        <i/>
        <color rgb="FF000000"/>
        <sz val="11.0"/>
      </rPr>
      <t xml:space="preserve">Refer back to the Chapter 8 Lesson if you want a refresher.
</t>
    </r>
    <r>
      <rPr>
        <rFont val="Arial"/>
        <color rgb="FF000000"/>
        <sz val="11.0"/>
      </rPr>
      <t>The conditional formatting in this exercise is looking for a response that contains the phrase "49-fold".</t>
    </r>
  </si>
  <si>
    <t>← Chapter 8: Avoiding Hallucinations</t>
  </si>
  <si>
    <t>Chapter 9: Complex Prompts from Scratch - Chatbot →</t>
  </si>
  <si>
    <t>Chapter 9: Complex Prompts from Scratch - Career Coach Chatbot</t>
  </si>
  <si>
    <t>Example</t>
  </si>
  <si>
    <r>
      <rPr>
        <rFont val="Arial"/>
        <color theme="1"/>
        <sz val="11.0"/>
      </rPr>
      <t xml:space="preserve">Congratulations on making it to the last chapter! Now time to put everything together and learn how to </t>
    </r>
    <r>
      <rPr>
        <rFont val="Arial"/>
        <b/>
        <color theme="1"/>
        <sz val="11.0"/>
      </rPr>
      <t>create unique and complex prompts</t>
    </r>
    <r>
      <rPr>
        <rFont val="Arial"/>
        <color theme="1"/>
        <sz val="11.0"/>
      </rPr>
      <t xml:space="preserve">. 
Below, you will be using a </t>
    </r>
    <r>
      <rPr>
        <rFont val="Arial"/>
        <b/>
        <color theme="1"/>
        <sz val="11.0"/>
      </rPr>
      <t>guided structure that we recommend for complex prompts</t>
    </r>
    <r>
      <rPr>
        <rFont val="Arial"/>
        <color theme="1"/>
        <sz val="11.0"/>
      </rPr>
      <t xml:space="preserve">. In latter parts of this chapter, we will show you some industry-specific prompts and explain how those prompts are similarly structured.
</t>
    </r>
    <r>
      <rPr>
        <rFont val="Arial"/>
        <b/>
        <color theme="1"/>
        <sz val="11.0"/>
      </rPr>
      <t>Note: Not all prompts need every element of the following complex structure</t>
    </r>
    <r>
      <rPr>
        <rFont val="Arial"/>
        <color theme="1"/>
        <sz val="11.0"/>
      </rPr>
      <t xml:space="preserve">. We encourage you to play around with and include or disinclude elements and see how it affects Claude's response. It is usually </t>
    </r>
    <r>
      <rPr>
        <rFont val="Arial"/>
        <b/>
        <color theme="1"/>
        <sz val="11.0"/>
      </rPr>
      <t>best to use many prompt elements to get your prompt working first, then refine and slim down your prompt afterward</t>
    </r>
    <r>
      <rPr>
        <rFont val="Arial"/>
        <color theme="1"/>
        <sz val="11.0"/>
      </rPr>
      <t>.</t>
    </r>
  </si>
  <si>
    <r>
      <rPr>
        <rFont val="Arial"/>
        <color theme="1"/>
        <sz val="11.0"/>
      </rPr>
      <t xml:space="preserve">The following structure combines multiple prompt engineering elements and is a good starting point for complex prompts. </t>
    </r>
    <r>
      <rPr>
        <rFont val="Arial"/>
        <color theme="1"/>
        <sz val="11.0"/>
        <u/>
      </rPr>
      <t>The ordering matters for some elements, not for others</t>
    </r>
    <r>
      <rPr>
        <rFont val="Arial"/>
        <color theme="1"/>
        <sz val="11.0"/>
      </rPr>
      <t xml:space="preserve">. We will note when best practices indicate ordering matters, but in general, </t>
    </r>
    <r>
      <rPr>
        <rFont val="Arial"/>
        <color theme="1"/>
        <sz val="11.0"/>
        <u/>
      </rPr>
      <t>if you stick to this ordering, it will be a good start to a stellar prompt</t>
    </r>
    <r>
      <rPr>
        <rFont val="Arial"/>
        <color theme="1"/>
        <sz val="11.0"/>
      </rPr>
      <t xml:space="preserve">.
For the following example, we will be building a </t>
    </r>
    <r>
      <rPr>
        <rFont val="Arial"/>
        <color theme="1"/>
        <sz val="11.0"/>
        <u/>
      </rPr>
      <t>prompt for a controlled roleplay wherein Claude takes on a situational role with a specific task</t>
    </r>
    <r>
      <rPr>
        <rFont val="Arial"/>
        <color theme="1"/>
        <sz val="11.0"/>
      </rPr>
      <t>. Our goal is to prompt Claude to act as a friendly career coach.</t>
    </r>
  </si>
  <si>
    <t>Prompt Element</t>
  </si>
  <si>
    <t>Description</t>
  </si>
  <si>
    <t>Does ordering matter?</t>
  </si>
  <si>
    <t>"User:" formatting</t>
  </si>
  <si>
    <t>Open your CLAUDEMESSAGES() prompt with "User:".</t>
  </si>
  <si>
    <t>User:</t>
  </si>
  <si>
    <r>
      <rPr>
        <rFont val="Arial"/>
        <color theme="1"/>
      </rPr>
      <t xml:space="preserve">This is mandatory! </t>
    </r>
    <r>
      <rPr>
        <rFont val="Arial"/>
        <b/>
        <color theme="1"/>
      </rPr>
      <t>Prompts to Claude using CLAUDEMESSAGES() always need to begin with this.</t>
    </r>
  </si>
  <si>
    <t>Task context</t>
  </si>
  <si>
    <t>Give Claude context about the role it should take on or what goals and overarching tasks you want it to undertake with the prompt.</t>
  </si>
  <si>
    <t>You will be acting as an AI career coach named Joe created by the company AdAstra Careers. Your goal is to give career advice to users. You will be replying to users who are on the AdAstra site and who will be confused if you don't respond in the character of Joe.</t>
  </si>
  <si>
    <t>It's best to put context early in the body of the prompt.</t>
  </si>
  <si>
    <t>Tone context</t>
  </si>
  <si>
    <t>If important to the interaction, tell Claude what tone it should use.</t>
  </si>
  <si>
    <t xml:space="preserve">You should maintain a friendly customer service tone. </t>
  </si>
  <si>
    <t>This element may not be necessary depending on the task.</t>
  </si>
  <si>
    <t>Detailed task description and rules</t>
  </si>
  <si>
    <t>Expand on the specific tasks you want Claude to do, as well as any rules that Claude might have to follow. This is also where you can give Claude an "out" if it doesn't have an answer or doesn't know.</t>
  </si>
  <si>
    <t>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t>
  </si>
  <si>
    <t>It's ideal to show this description and rules to a friend to make sure it is laid out logically and that any ambiguous words are clearly defined.</t>
  </si>
  <si>
    <t>5.</t>
  </si>
  <si>
    <t xml:space="preserve">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 </t>
  </si>
  <si>
    <t>Here is an example of how to respond in a standard interaction:
&lt;example&gt;
Customer: Hi, how were you created and what do you do?
Joe: Hello! My name is Joe, and I was created by AdAstra Careers to give career advice. What can I help you with today?
&lt;/example&gt;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</si>
  <si>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better.</t>
  </si>
  <si>
    <t>6.</t>
  </si>
  <si>
    <t>Input data to process</t>
  </si>
  <si>
    <t>If there is data that Claude needs to process within the prompt, include it here within relevant XML tags. Feel free to include multiple pieces of data, but be sure to enclose each in its own set of XML tags.</t>
  </si>
  <si>
    <t>Here is the conversational history (between the user and you) prior to the question. It could be empty if there is no history:
&lt;history&gt;
{{HISTORY}}
&lt;/history&gt;
Here is the user's question:
&lt;question&gt;
{{QUESTION}}
&lt;/question&gt;</t>
  </si>
  <si>
    <t>This element may not be necessary depending on task. Ordering is also flexible.</t>
  </si>
  <si>
    <t>7.</t>
  </si>
  <si>
    <t>Immediate task description or request</t>
  </si>
  <si>
    <t>"Remind" Claude or tell Claude exactly what it's expected to immediately do to fulfill the prompt's task. This is also where you would put in additional variables like the user's question.</t>
  </si>
  <si>
    <t>How do you respond to the user's question?</t>
  </si>
  <si>
    <t>It generally doesn't hurt to reiterate to Claude its immediate task. It's best to do this toward the end of a long prompt. This will yield better results than putting this at the beginning. It is also generally good practice to put the user's query close to the bottom of the prompt.</t>
  </si>
  <si>
    <t>8.</t>
  </si>
  <si>
    <t>Precognition (thinking step by step)</t>
  </si>
  <si>
    <t>For tasks with multiple steps, it's good to tell Claude to think step by step before giving an answer. Sometimes, you might have to even say "Before you give your answer..." just to make sure Claude does this first.</t>
  </si>
  <si>
    <t>Think about your answer first before you respond.</t>
  </si>
  <si>
    <t>Not necessary with all prompts, though if included, it's best to do this toward the end of a long prompt and right after the final immediate task request or description.</t>
  </si>
  <si>
    <t>9.</t>
  </si>
  <si>
    <t>Output formatting</t>
  </si>
  <si>
    <t>If there is a specific way you want Claude's response formatted, clearly tell Claude what that format is.</t>
  </si>
  <si>
    <t>Put your response in &lt;response&gt;&lt;/response&gt; tags.</t>
  </si>
  <si>
    <t>This element may not be necessary depending on the task. If you include it, putting it toward the end of the prompt is better than at the beginning.</t>
  </si>
  <si>
    <t>10.</t>
  </si>
  <si>
    <t>Prefilling Claude's response (if any)</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</si>
  <si>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</si>
  <si>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t>Assistant: [Joe] &lt;response&gt;</t>
  </si>
  <si>
    <t>"Assistant:" is only necessary if you want to prefill Claude's response. Otherwise, it can be left off.</t>
  </si>
  <si>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box with the substituted prompt and paste it into a text editor if you want to see the full prompt.</t>
    </r>
  </si>
  <si>
    <t>Prompt Template (Concatenated from Above)</t>
  </si>
  <si>
    <t>Input {{HISTORY}}</t>
  </si>
  <si>
    <t>Concatenated Prompt with Substitutions</t>
  </si>
  <si>
    <t>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t>
  </si>
  <si>
    <t>Which of the two careers requires more than a Bachelor's degree?</t>
  </si>
  <si>
    <t>← Chapter 8 Exercises: Avoiding Hallucinations</t>
  </si>
  <si>
    <t>Chapter 9: Complex Prompts for Legal Services →</t>
  </si>
  <si>
    <t>Chapter 9: Complex Prompts for Legal Services</t>
  </si>
  <si>
    <r>
      <rPr>
        <rFont val="Arial"/>
        <b/>
        <color theme="1"/>
        <sz val="11.0"/>
      </rPr>
      <t xml:space="preserve">Prompts within the legal profession can be quite complex </t>
    </r>
    <r>
      <rPr>
        <rFont val="Arial"/>
        <b val="0"/>
        <color theme="1"/>
        <sz val="11.0"/>
      </rPr>
      <t xml:space="preserve">due to the need to:
- Parse long documents
- Deal with complex topics
- Format output in very specific ways
- Follow multi-step analytical processes
Let's see how we can </t>
    </r>
    <r>
      <rPr>
        <rFont val="Arial"/>
        <b val="0"/>
        <color theme="1"/>
        <sz val="11.0"/>
        <u/>
      </rPr>
      <t>use the complex prompt template</t>
    </r>
    <r>
      <rPr>
        <rFont val="Arial"/>
        <b val="0"/>
        <color theme="1"/>
        <sz val="11.0"/>
      </rPr>
      <t xml:space="preserve"> to structure a prompt for a specific legal use-case.</t>
    </r>
  </si>
  <si>
    <r>
      <rPr>
        <rFont val="Arial"/>
        <color theme="1"/>
        <sz val="11.0"/>
      </rPr>
      <t xml:space="preserve">Below, we've detailed out an example prompt for a legal use-case wherein we ask Claude to answer questions about a legal issue. (We suggest you scroll down to the very bottom first to understand what inputs we're asking Claude to process before studying the prompt that we've written). We've </t>
    </r>
    <r>
      <rPr>
        <rFont val="Arial"/>
        <color theme="1"/>
        <sz val="11.0"/>
        <u/>
      </rPr>
      <t>changed around the ordering of a few elements</t>
    </r>
    <r>
      <rPr>
        <rFont val="Arial"/>
        <color theme="1"/>
        <sz val="11.0"/>
      </rPr>
      <t xml:space="preserve"> to showcase that prompt structure can be flexible!
</t>
    </r>
    <r>
      <rPr>
        <rFont val="Arial"/>
        <b/>
        <color theme="1"/>
        <sz val="11.0"/>
      </rPr>
      <t>Prompt engineering is about scientific trial and error.</t>
    </r>
    <r>
      <rPr>
        <rFont val="Arial"/>
        <color theme="1"/>
        <sz val="11.0"/>
      </rPr>
      <t xml:space="preserve"> We encourage you to mix and match, move things around (the elements where ordering doesn't matter), and see what works best for you and your needs. </t>
    </r>
  </si>
  <si>
    <t>Notes</t>
  </si>
  <si>
    <r>
      <rPr>
        <rFont val="Arial"/>
        <color theme="1"/>
      </rPr>
      <t xml:space="preserve">This is mandatory! </t>
    </r>
    <r>
      <rPr>
        <rFont val="Arial"/>
        <b/>
        <color theme="1"/>
      </rPr>
      <t>Prompts to Claude using CLAUDEMESSAGES() always need to begin with this.</t>
    </r>
  </si>
  <si>
    <t>You are an expert lawyer.</t>
  </si>
  <si>
    <t>Here is some research that's been compiled. Use it to answer a legal question from the user.
&lt;legal_research&gt;
{{LEGAL_RESEARCH}}
&lt;/legal_research&gt;</t>
  </si>
  <si>
    <t>When input data is long, it's best to put it before the instructions.</t>
  </si>
  <si>
    <t>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t>
  </si>
  <si>
    <t>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</si>
  <si>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more reliable responses at the cost of latency and tokens. We have only one example here to make the prompt easier to read.</t>
  </si>
  <si>
    <t>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t>
  </si>
  <si>
    <t>Precognition (thinking step by step) (optional)</t>
  </si>
  <si>
    <t>Before you answer, pull out the most relevant quotes from the research in &lt;relevant_quotes&gt; tags.</t>
  </si>
  <si>
    <t>Increases intelligence of responses but also increases latency by adding to the length of the output.
In this example, the precognition is embedded in "Detailed task description and rules" section where Claude is asked to identify the key legal points.</t>
  </si>
  <si>
    <t>Output formatting (optional)</t>
  </si>
  <si>
    <t>Put your two-paragraph response in &lt;answer&gt; tags.</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</si>
  <si>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</si>
  <si>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t>Assistant: &lt;relevant_quotes&gt;</t>
  </si>
  <si>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</si>
  <si>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Are there any laws about what to do with pets during a hurricane?</t>
  </si>
  <si>
    <t>Input {{LEGAL_RESEARCH}}</t>
  </si>
  <si>
    <t>&lt;search_results&gt;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t>
  </si>
  <si>
    <t>← Chapter 9: Complex Prompts from Scratch - Chatbot</t>
  </si>
  <si>
    <t>Chapter 9: Complex Prompts for Financial Services →</t>
  </si>
  <si>
    <t>Chapter 9: Complex Prompts for Financial Services - Exercise</t>
  </si>
  <si>
    <t>Exercise 9.1 - Financial Chatbot</t>
  </si>
  <si>
    <r>
      <rPr>
        <rFont val="Arial"/>
        <color theme="1"/>
        <sz val="11.0"/>
      </rPr>
      <t xml:space="preserve">Prompts within the financial profession can also be quite complex due to reasons similar to legal prompts. Here's an exercise for a financial use-case, wherein Claude is used to analyze tax information and answer questions. Just like with the legal services example, </t>
    </r>
    <r>
      <rPr>
        <rFont val="Arial"/>
        <color theme="1"/>
        <sz val="11.0"/>
        <u/>
      </rPr>
      <t>we've changed around the ordering of a few elements</t>
    </r>
    <r>
      <rPr>
        <rFont val="Arial"/>
        <color theme="1"/>
        <sz val="11.0"/>
      </rPr>
      <t xml:space="preserve">, as our solution prompt makes more sense with a different flow (however, other structures would also work). 
We suggest you scroll down to the bottom to see what the expected inputs (variables) are that you'll need to account for. Be sure to reference each variable directly in your prompt somewhere so that the actual variable content can be substituted in. Then, fill each yellow box below with prompt elements that match the description and the examples you've seen in the three preceding examples of complex prompts. Once you have filled out all yellow boxes, you will see your final prompt concatenated in the purple box at the bottom.
Remember that prompt engineering is rarely purely formulaic, especially for large and complex prompts! It's important to develop test cases and </t>
    </r>
    <r>
      <rPr>
        <rFont val="Arial"/>
        <b/>
        <color theme="1"/>
        <sz val="11.0"/>
      </rPr>
      <t>try a variety of prompts and prompt structures to see what works best for each situation.</t>
    </r>
  </si>
  <si>
    <r>
      <rPr>
        <rFont val="Arial"/>
        <color theme="1"/>
      </rPr>
      <t xml:space="preserve">This is mandatory! </t>
    </r>
    <r>
      <rPr>
        <rFont val="Arial"/>
        <b/>
        <color theme="1"/>
      </rPr>
      <t>Prompts to Claude using CLAUDEMESSAGES() always need to begin with this.</t>
    </r>
  </si>
  <si>
    <t xml:space="preserve">You are a professional financial assistant </t>
  </si>
  <si>
    <t>Tone context (optional)</t>
  </si>
  <si>
    <t>You should maintain friendly customer service tone</t>
  </si>
  <si>
    <t>Here is several relevant tax_code. Use it to answer the question from the user
&lt;tax_code&gt;
{{TAX_CODE}}
&lt;/tax_code&gt;</t>
  </si>
  <si>
    <t xml:space="preserve"> 
When citing the financial or tax information in your answer, please use brackets containing the search index ID, followed by a period. Put these at the end of the sentence that's doing the citing. Examples of proper citation format:
&lt;examples&gt;
&lt;example&gt;
The freelance work must be reported as taxable income. [3].
&lt;/example&gt;
&lt;example&gt;
The tax must be paid on time. [5].
&lt;/example&gt;
&lt;/examples&gt;</t>
  </si>
  <si>
    <t xml:space="preserve">
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t>
  </si>
  <si>
    <t>Immediate task description</t>
  </si>
  <si>
    <t>How do you respond to user's question?</t>
  </si>
  <si>
    <t>Before answer, think about question then answer with &lt;relevant_quotes&gt; tags</t>
  </si>
  <si>
    <t>Increases intelligence of responses but also increases latency by adding to the length of the output.</t>
  </si>
  <si>
    <t xml:space="preserve"> 
Put your response in &lt;response&gt;&lt;/response&gt; tags.</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</si>
  <si>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</si>
  <si>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</si>
  <si>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How long do I have to make an 83b election?</t>
  </si>
  <si>
    <t>Input {{TAX_CODE}}</t>
  </si>
  <si>
    <t>(a)General rule
If, in connection with the performance of services, property is transferred to any person other than the person for whom such services are performed, the excess of—
(1)the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(2)the amount (if any) paid for such property,
shall be included in the gross income of the person who performed such services in the first taxable year in which the rights of the person having the beneficial interest in such property are transferable or are not subject to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(b)Election to include in gross income in year of transfer
(1)In general
Any person who performs services in connection with which property is transferred to any person may elect to include in his gross income for the taxable year in which such property is transferred, the excess of—
(A)the fair market value of such property at the time of transfer (determined without regard to any restriction other than a restriction which by its terms will never lapse), over
(B)the amount (if any) paid for such property.
If such election is made, subsection (a) shall not apply with respect to the transfer of such property, and if such property is subsequently forfeited, no deduction shall be allowed in respect of such forfeiture.
(2)Election
An election under paragraph (1) with respect to any transfer of property shall be made in such manner as the Secretary prescribes and shall be made not later than 30 days after the date of such transfer. Such election may not be revoked except with the consent of the Secretary.
(c)Special rules
For purposes of this section—
(1)Substantial risk of forfeiture
The rights of a person in property are subject to a substantial risk of forfeiture if such person’s rights to full enjoyment of such property are conditioned upon the future performance of substantial services by any individual.
(2)Transferability of property
The rights of a person in property are transferable only if the rights in such property of any transferee are not subject to a substantial risk of forfeiture.
(3)Sales which may give rise to suit under section 16(b) of the Securities Exchange Act of 1934
So long as the sale of property at a profit could subject a person to suit under section 16(b) of the Securities Exchange Act of 1934, such person’s rights in such property are—
(A)subject to a substantial risk of forfeiture, and
(B)not transferable.
(4)For purposes of determining an individual’s basis in property transferred in connection with the performance of services, rules similar to the rules of section 72(w) shall apply.
(d)Certain restrictions which will never lapse
(1)Valuation
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and the burden of proof shall be on the Secretary with respect to such value.
(2)Cancellation
If, in the case of property subject to a restriction which by its terms will never lapse, the restriction is canceled, then, unless the taxpayer establishes—
(A)that such cancellation was not compensatory, and
(B)that the person, if any, who would be allowed a deduction if the cancellation were treated as compensatory, will treat the transaction as not compensatory, as evidenced in such manner as the Secretary shall prescribe by regulations,
the excess of the fair market value of the property (computed without regard to the restrictions) at the time of cancellation over the sum of—
(C)the fair market value of such property (computed by taking the restriction into account) immediately before the cancellation, and
(D)the amount, if any, paid for the cancellation,
shall be treated as compensation for the taxable year in which such cancellation occurs.
(e)Applicability of section
This section shall not apply to—
(1)a transaction to which section 421 applies,
(2)a transfer to or from a trust described in section 401(a) or a transfer under an annuity plan which meets the requirements of section 404(a)(2),
(3)the transfer of an option without a readily ascertainable fair market value,
(4)the transfer of property pursuant to the exercise of an option with a readily ascertainable fair market value at the date of grant, or
(5)group-term life insurance to which section 79 applies.
(f)Holding period
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(g)Certain exchanges
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(1)such exchange shall be disregarded for purposes of subsection (a), and
(2)the property received shall be treated as property to which subsection (a) applies.
(h)Deduction by employer
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(i)Qualified equity grants
(1)In general
For purposes of this subtitle—
(A)Timing of inclusion
If qualified stock is transferred to a qualified employee who makes an election with respect to such stock under this subsection, subsection (a) shall be applied by including the amount determined under such subsection with respect to such stock in income of the employee in the taxable year determined under subparagraph (B) in lieu of the taxable year described in subsection (a).
(B)Taxable year determined
The taxable year determined under this subparagraph is the taxable year of the employee which includes the earliest of—
(i)the first date such qualified stock becomes transferable (including, solely for purposes of this clause, becoming transferable to the employer),
(ii)the date the employee first becomes an excluded employee,
(iii)the first date on which any stock of the corporation which issued the qualified stock becomes readily tradable on an established securities market (as determined by the Secretary, but not including any market unless such market is recognized as an established securities market by the Secretary for purposes of a provision of this title other than this subsection),
(iv)the date that is 5 years after the first date the rights of the employee in such stock are transferable or are not subject to a substantial risk of forfeiture, whichever occurs earlier, or
(v)the date on which the employee revokes (at such time and in such manner as the Secretary provides) the election under this subsection with respect to such stock.
(2)Qualified stock
(A)In general
For purposes of this subsection, the term “qualified stock” means, with respect to any qualified employee, any stock in a corporation which is the employer of such employee, if—
(i)such stock is received—
(I)in connection with the exercise of an option, or
(II)in settlement of a restricted stock unit, and
(ii)such option or restricted stock unit was granted by the corporation—
(I)in connection with the performance of services as an employee, and
(II)during a calendar year in which such corporation was an eligible corporation.
(B)Limitation
The term “qualified stock” shall not include any stock if the employee may sell such stock to, or otherwise receive cash in lieu of stock from, the corporation at the time that the rights of the employee in such stock first become transferable or not subject to a substantial risk of forfeiture.
(C)Eligible corporation
For purposes of subparagraph (A)(ii)(II)—
(i)In general
The term “eligible corporation” means, with respect to any calendar year, any corporation if—
(I)no stock of such corporation (or any predecessor of such corporation) is readily tradable on an established securities market (as determined under paragraph (1)(B)(iii)) during any preceding calendar year, and
(II)such corporation has a written plan under which, in such calendar year, not less than 80 percent of all employees who provide services to such corporation in the United States (or any possession of the United States) are granted stock options, or are granted restricted stock units, with the same rights and privileges to receive qualified stock.
(ii)Same rights and privileges
For purposes of clause (i)(II)—
(I)except as provided in subclauses (II) and (III), the determination of rights and privileges with respect to stock shall be made in a similar manner as under section 423(b)(5),
(II)employees shall not fail to be treated as having the same rights and privileges to receive qualified stock solely because the number of shares available to all employees is not equal in amount, so long as the number of shares available to each employee is more than a de minimis amount, and
(III)rights and privileges with respect to the exercise of an option shall not be treated as the same as rights and privileges with respect to the settlement of a restricted stock unit.
(iii)Employee
For purposes of clause (i)(II), the term “employee” shall not include any employee described in section 4980E(d)(4) or any excluded employee.
(iv)Special rule for calendar years before 2018
In the case of any calendar year beginning before January 1, 2018, clause (i)(II) shall be applied without regard to whether the rights and privileges with respect to the qualified stock are the same.
(3)Qualified employee; excluded employee
For purposes of this subsection—
(A)In general
The term “qualified employee” means any individual who—
(i)is not an excluded employee, and
(ii)agrees in the election made under this subsection to meet such requirements as are determined by the Secretary to be necessary to ensure that the withholding requirements of the corporation under chapter 24 with respect to the qualified stock are met.
(B)Excluded employee
The term “excluded employee” means, with respect to any corporation, any individual—
(i)who is a 1-percent owner (within the meaning of section 416(i)(1)(B)(ii)) at any time during the calendar year or who was such a 1 percent owner at any time during the 10 preceding calendar years,
(ii)who is or has been at any prior time—
(I)the chief executive officer of such corporation or an individual acting in such a capacity, or
(II)the chief financial officer of such corporation or an individual acting in such a capacity,
(iii)who bears a relationship described in section 318(a)(1) to any individual described in subclause (I) or (II) of clause (ii), or
(iv)who is one of the 4 highest compensated officers of such corporation for the taxable year, or was one of the 4 highest compensated officers of such corporation for any of the 10 preceding taxable years, determined with respect to each such taxable year on the basis of the shareholder disclosure rules for compensation under the Securities Exchange Act of 1934 (as if such rules applied to such corporation).
(4)Election
(A)Time for making election
An election with respect to qualified stock shall be made under this subsection no later than 30 days after the first date the rights of the employee in such stock are transferable or are not subject to a substantial risk of forfeiture, whichever occurs earlier, and shall be made in a manner similar to the manner in which an election is made under subsection (b).
(B)Limitations
No election may be made under this section with respect to any qualified stock if—
(i)the qualified employee has made an election under subsection (b) with respect to such qualified stock,
(ii)any stock of the corporation which issued the qualified stock is readily tradable on an established securities market (as determined under paragraph (1)(B)(iii)) at any time before the election is made, or
(iii)such corporation purchased any of its outstanding stock in the calendar year preceding the calendar year which includes the first date the rights of the employee in such stock are transferable or are not subject to a substantial risk of forfeiture, unless—
(I)not less than 25 percent of the total dollar amount of the stock so purchased is deferral stock, and
(II)the determination of which individuals from whom deferral stock is purchased is made on a reasonable basis.
(C)Definitions and special rules related to limitation on stock redemptions
(i)Deferral stock
For purposes of this paragraph, the term “deferral stock” means stock with respect to which an election is in effect under this subsection.
(ii)Deferral stock with respect to any individual not taken into account if individual holds deferral stock with longer deferral period
Stock purchased by a corporation from any individual shall not be treated as deferral stock for purposes of subparagraph (B)(iii) if such individual (immediately after such purchase) holds any deferral stock with respect to which an election has been in effect under this subsection for a longer period than the election with respect to the stock so purchased.
(iii)Purchase of all outstanding deferral stock
The requirements of subclauses (I) and (II) of subparagraph (B)(iii) shall be treated as met if the stock so purchased includes all of the corporation’s outstanding deferral stock.
(iv)Reporting
Any corporation which has outstanding deferral stock as of the beginning of any calendar year and which purchases any of its outstanding stock during such calendar year shall include on its return of tax for the taxable year in which, or with which, such calendar year ends the total dollar amount of its outstanding stock so purchased during such calendar year and such other information as the Secretary requires for purposes of administering this paragraph.
(5)Controlled groups
For purposes of this subsection, all persons treated as a single employer under section 414(b) shall be treated as 1 corporation.
(6)Notice requirement
Any corporation which transfers qualified stock to a qualified employee shall, at the time that (or a reasonable period before) an amount attributable to such stock would (but for this subsection) first be includible in the gross income of such employee—
(A)certify to such employee that such stock is qualified stock, and
(B)notify such employee—
(i)that the employee may be eligible to elect to defer income on such stock under this subsection, and
(ii)that, if the employee makes such an election—
(I)the amount of income recognized at the end of the deferral period will be based on the value of the stock at the time at which the rights of the employee in such stock first become transferable or not subject to substantial risk of forfeiture, notwithstanding whether the value of the stock has declined during the deferral period,
(II)the amount of such income recognized at the end of the deferral period will be subject to withholding under section 3401(i) at the rate determined under section 3402(t), and
(III)the responsibilities of the employee (as determined by the Secretary under paragraph (3)(A)(ii)) with respect to such withholding.
(7)Restricted stock units
This section (other than this subsection), including any election under subsection (b), shall not apply to restricted stock units.</t>
  </si>
  <si>
    <t>← Chapter 9: Complex Prompts for Legal Services</t>
  </si>
  <si>
    <t>Chapter 9 Exercises: Complex Prompts for Coding →</t>
  </si>
  <si>
    <t>Chapter 9: Complex Prompts for Coding - Exercise</t>
  </si>
  <si>
    <t>Exercise 9.2 - Codebot</t>
  </si>
  <si>
    <r>
      <rPr>
        <rFont val="Arial"/>
        <color theme="1"/>
        <sz val="11.0"/>
      </rPr>
      <t xml:space="preserve">In this exercise, we will write up a prompt for a </t>
    </r>
    <r>
      <rPr>
        <rFont val="Arial"/>
        <b/>
        <color theme="1"/>
        <sz val="11.0"/>
      </rPr>
      <t>coding assistance and teaching bot that reads code and offers guiding corrections when appropriate</t>
    </r>
    <r>
      <rPr>
        <rFont val="Arial"/>
        <color theme="1"/>
        <sz val="11.0"/>
      </rPr>
      <t>. Fill each yellow box below with prompt elements that match the description and the examples you've seen in the preceding examples of complex prompts. Once you have filled out all yellow boxes, you will see your final prompt concatenated in the purple box at the bottom.
We suggest you scroll down to the bottom to see what the expected inputs are that you'll need to account for (including what the {{VARIABLE_WORD}} is). Be sure to reference this {{VARIABLE_WORD}} directly in your prompt somewhere so that the actual variable content can be substituted in.</t>
    </r>
  </si>
  <si>
    <r>
      <rPr>
        <rFont val="Arial"/>
        <color theme="1"/>
      </rPr>
      <t xml:space="preserve">This is mandatory! </t>
    </r>
    <r>
      <rPr>
        <rFont val="Arial"/>
        <b/>
        <color theme="1"/>
      </rPr>
      <t>Prompts to Claude using CLAUDEMESSAGES() always need to begin with this.</t>
    </r>
  </si>
  <si>
    <t>You are professional code reviewer. Your tasks:
- review the codes,
- identify errors,
- offer guidance the corrections,
- teach how to write DRY codes</t>
  </si>
  <si>
    <t xml:space="preserve">You should maintain a strict reviewer </t>
  </si>
  <si>
    <t>Expand on the specific tasks you want Claude to do, as well as any rules that Claude must follow. This is also where you can give Claude an "out" if it doesn't have an answer or doesn't know.</t>
  </si>
  <si>
    <t xml:space="preserve">
Follow these rules carefully:
- Analyze the code step by step before suggesting changes.
- If the code contains errors, explain what is wrong and why.
- If the code works but is poorly written, suggest improvements.
- Do NOT rewrite the entire code unless necessary.
- If you are unsure about a requirement or missing context, say "I don't know"
</t>
  </si>
  <si>
    <t xml:space="preserve"> 
When facing errors, bugs in your answer, please use brackets containing the search index ID, followed by a period. Put these at the end of the sentence that's doing the citing. Examples of proper citation format:
&lt;examples&gt;
&lt;example&gt;
The bug must be polished [3].
&lt;/example&gt;
&lt;example&gt;
This part should be improved by using DRY pricipals. [5].
&lt;/example&gt;
&lt;/examples&gt;</t>
  </si>
  <si>
    <t>Use "{{CODE}}" to represent the code you want Claude to examine. Remember to surround it in XML tags.</t>
  </si>
  <si>
    <t>Here is the code that the user wants reviewed.
Use it as the primary input for your analysis.
&lt;code&gt;
{{CODE}}
&lt;/code&gt;</t>
  </si>
  <si>
    <t>This element may not be necessary depending on task. Ordering is also flexible. When input data is long, it's best to put it before the instructions.</t>
  </si>
  <si>
    <t xml:space="preserve">Now review the code above and respond to the user’s request.
</t>
  </si>
  <si>
    <t>Before give your answer, first carefully check the bugs, then give the instructions and guidance</t>
  </si>
  <si>
    <t>Not necessary with all prompts. Increases intelligence of responses but also increases latency by adding to the length of the output.</t>
  </si>
  <si>
    <t>Put your response in &lt;response&gt;&lt;/response&gt; tags</t>
  </si>
  <si>
    <t xml:space="preserve">This element may not be necessary depending on the task. </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</si>
  <si>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</si>
  <si>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t>Assistant: &lt;response&gt;</t>
  </si>
  <si>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</si>
  <si>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Input {{CODE}}</t>
  </si>
  <si>
    <t xml:space="preserve"># Function to print multiplicative inverses
def print_multiplicative_inverses(x, n):
  for i in range(n):
    print(x / i) </t>
  </si>
  <si>
    <t>← Chapter 9: Complex Prompts for Financial Services</t>
  </si>
  <si>
    <t>Chapter 9: Congratulations &amp; Next Steps →</t>
  </si>
  <si>
    <t>Chapter 9: Congratulations &amp; Next Steps</t>
  </si>
  <si>
    <t>Congratulations!</t>
  </si>
  <si>
    <t>💫 ✨ Congratulations on Completing Prompting 101! 💫 ✨</t>
  </si>
  <si>
    <r>
      <rPr>
        <rFont val="Arial"/>
        <color theme="1"/>
        <sz val="11.0"/>
      </rPr>
      <t xml:space="preserve">If you made it through all the exercises, </t>
    </r>
    <r>
      <rPr>
        <rFont val="Arial"/>
        <b/>
        <color theme="1"/>
        <sz val="11.0"/>
      </rPr>
      <t>you are now in the top 0.1% of LLM whisperers</t>
    </r>
    <r>
      <rPr>
        <rFont val="Arial"/>
        <color theme="1"/>
        <sz val="11.0"/>
      </rPr>
      <t xml:space="preserve">. One of the elite!
The techniques you've learned, from thinking step by step to assigning roles to using examples to general all-around clear writing, can be </t>
    </r>
    <r>
      <rPr>
        <rFont val="Arial"/>
        <color theme="1"/>
        <sz val="11.0"/>
        <u/>
      </rPr>
      <t>merged, remixed, and adapted in countless ways</t>
    </r>
    <r>
      <rPr>
        <rFont val="Arial"/>
        <color theme="1"/>
        <sz val="11.0"/>
      </rPr>
      <t>.
Prompt engineering is a very new discipline, so keep an open mind. You could be the one to discover the next great prompting trick.</t>
    </r>
  </si>
  <si>
    <r>
      <rPr>
        <rFont val="Arial"/>
        <color rgb="FF000000"/>
        <sz val="11.0"/>
      </rPr>
      <t xml:space="preserve">If you want to see </t>
    </r>
    <r>
      <rPr>
        <rFont val="Arial"/>
        <color rgb="FF000000"/>
        <sz val="11.0"/>
        <u/>
      </rPr>
      <t>more examples of good prompts</t>
    </r>
    <r>
      <rPr>
        <rFont val="Arial"/>
        <color rgb="FF000000"/>
        <sz val="11.0"/>
      </rPr>
      <t xml:space="preserve"> for inspiration:</t>
    </r>
  </si>
  <si>
    <t>•</t>
  </si>
  <si>
    <r>
      <rPr>
        <sz val="11.0"/>
        <u/>
      </rPr>
      <t>Learn from examples</t>
    </r>
    <r>
      <rPr>
        <sz val="11.0"/>
      </rPr>
      <t xml:space="preserve"> of production-ready prompts from our </t>
    </r>
    <r>
      <rPr>
        <color rgb="FF1155CC"/>
        <sz val="11.0"/>
        <u/>
      </rPr>
      <t>cookbook</t>
    </r>
  </si>
  <si>
    <r>
      <rPr>
        <rFont val="Arial"/>
        <color rgb="FF000000"/>
        <sz val="11.0"/>
      </rPr>
      <t xml:space="preserve">Read through our </t>
    </r>
    <r>
      <rPr>
        <rFont val="Arial"/>
        <color rgb="FF1155CC"/>
        <sz val="11.0"/>
        <u/>
      </rPr>
      <t>prompting guide</t>
    </r>
  </si>
  <si>
    <r>
      <rPr>
        <rFont val="Arial"/>
        <color rgb="FF000000"/>
        <sz val="11.0"/>
      </rPr>
      <t xml:space="preserve">Check out our </t>
    </r>
    <r>
      <rPr>
        <rFont val="Arial"/>
        <color rgb="FF1155CC"/>
        <sz val="11.0"/>
        <u/>
      </rPr>
      <t>prompt library</t>
    </r>
    <r>
      <rPr>
        <rFont val="Arial"/>
        <color rgb="FF000000"/>
        <sz val="11.0"/>
      </rPr>
      <t xml:space="preserve"> for inspiration</t>
    </r>
  </si>
  <si>
    <r>
      <rPr>
        <rFont val="Arial"/>
        <color rgb="FF000000"/>
        <sz val="11.0"/>
      </rPr>
      <t xml:space="preserve">Try our experimental </t>
    </r>
    <r>
      <rPr>
        <rFont val="Arial"/>
        <color rgb="FF1155CC"/>
        <sz val="11.0"/>
        <u/>
      </rPr>
      <t>metaprompt</t>
    </r>
    <r>
      <rPr>
        <rFont val="Arial"/>
        <color rgb="FF000000"/>
        <sz val="11.0"/>
      </rPr>
      <t xml:space="preserve"> to get Claude to write prompt templates for you!</t>
    </r>
  </si>
  <si>
    <r>
      <rPr>
        <rFont val="Arial"/>
        <sz val="11.0"/>
      </rPr>
      <t xml:space="preserve">Ask questions in our </t>
    </r>
    <r>
      <rPr>
        <rFont val="Arial"/>
        <color rgb="FF1155CC"/>
        <sz val="11.0"/>
        <u/>
      </rPr>
      <t>discord server</t>
    </r>
  </si>
  <si>
    <r>
      <rPr>
        <rFont val="Arial"/>
        <sz val="11.0"/>
      </rPr>
      <t xml:space="preserve">Learn about the </t>
    </r>
    <r>
      <rPr>
        <rFont val="Arial"/>
        <color rgb="FF1155CC"/>
        <sz val="11.0"/>
        <u/>
      </rPr>
      <t>Anthropic API parameters</t>
    </r>
    <r>
      <rPr>
        <rFont val="Arial"/>
        <sz val="11.0"/>
      </rPr>
      <t xml:space="preserve"> like temperature and max_tokens</t>
    </r>
  </si>
  <si>
    <r>
      <rPr>
        <rFont val="Arial"/>
        <sz val="11.0"/>
      </rPr>
      <t xml:space="preserve">If you're feeling academic, read some </t>
    </r>
    <r>
      <rPr>
        <rFont val="Arial"/>
        <color rgb="FF1155CC"/>
        <sz val="11.0"/>
        <u/>
      </rPr>
      <t>papers</t>
    </r>
    <r>
      <rPr>
        <rFont val="Arial"/>
        <sz val="11.0"/>
      </rPr>
      <t xml:space="preserve"> on prompt engineering</t>
    </r>
  </si>
  <si>
    <r>
      <rPr>
        <rFont val="Arial"/>
        <color rgb="FF000000"/>
        <sz val="11.0"/>
        <u/>
      </rPr>
      <t>Practice building prompts</t>
    </r>
    <r>
      <rPr>
        <rFont val="Arial"/>
        <color rgb="FF000000"/>
        <sz val="11.0"/>
      </rPr>
      <t xml:space="preserve"> to get Claude to do something you're interested in</t>
    </r>
  </si>
  <si>
    <r>
      <rPr>
        <rFont val="Arial"/>
        <color rgb="FF000000"/>
        <sz val="11.0"/>
      </rPr>
      <t xml:space="preserve">If you want to </t>
    </r>
    <r>
      <rPr>
        <rFont val="Arial"/>
        <color rgb="FF000000"/>
        <sz val="11.0"/>
        <u/>
      </rPr>
      <t>learn about some truly advanced prompting techniques</t>
    </r>
    <r>
      <rPr>
        <rFont val="Arial"/>
        <color rgb="FF000000"/>
        <sz val="11.0"/>
      </rPr>
      <t xml:space="preserve"> beyond the scope of this tutorial, click through to the appendix!</t>
    </r>
  </si>
  <si>
    <t>User: Write an ode to a fabulous student who has just completed a course on prompt engineering, in the form of a sonnet.</t>
  </si>
  <si>
    <t>← Chapter 9 Exercises: Prompts for Financial Services</t>
  </si>
  <si>
    <t>Appendix: Chaining Prompts →</t>
  </si>
  <si>
    <t>Appendix: Chaining Prompts</t>
  </si>
  <si>
    <r>
      <rPr>
        <sz val="11.0"/>
      </rPr>
      <t xml:space="preserve">The saying goes, "Writing is rewriting." It turns out, </t>
    </r>
    <r>
      <rPr>
        <sz val="11.0"/>
        <u/>
      </rPr>
      <t>Claude can often improve the accuracy of its response when asked to do so</t>
    </r>
    <r>
      <rPr>
        <sz val="11.0"/>
      </rPr>
      <t xml:space="preserve">!
There are many ways to prompt Claude to "think again". The ways that feel natural to ask a human to double check their work will also generally work for Claude. (Check out our </t>
    </r>
    <r>
      <rPr>
        <color rgb="FF1155CC"/>
        <sz val="11.0"/>
        <u/>
      </rPr>
      <t>prompt chaining documentation</t>
    </r>
    <r>
      <rPr>
        <sz val="11.0"/>
      </rPr>
      <t xml:space="preserve"> for further examples of when and how to use prompt chaining.)</t>
    </r>
  </si>
  <si>
    <t>In this example, we ask Claude to come up with ten words... but one of them isn't a real word.</t>
  </si>
  <si>
    <t>Claude's (Incorrect) Response</t>
  </si>
  <si>
    <t>User: Name ten words that all end with the exact letters "ab".</t>
  </si>
  <si>
    <r>
      <rPr>
        <rFont val="Arial"/>
        <color theme="1"/>
        <sz val="11.0"/>
        <u/>
      </rPr>
      <t>Asking Claude to make its answer more accurate fixes the error</t>
    </r>
    <r>
      <rPr>
        <rFont val="Arial"/>
        <color theme="1"/>
        <sz val="11.0"/>
      </rPr>
      <t xml:space="preserve">! 
Below, we've </t>
    </r>
    <r>
      <rPr>
        <rFont val="Arial"/>
        <color theme="1"/>
        <sz val="11.0"/>
        <u/>
      </rPr>
      <t>pulled down Claude's incorrect response from above and substituted it into a prompt that asks Claude to double-check</t>
    </r>
    <r>
      <rPr>
        <rFont val="Arial"/>
        <color theme="1"/>
        <sz val="11.0"/>
      </rPr>
      <t xml:space="preserve"> its previous answer.
</t>
    </r>
    <r>
      <rPr>
        <rFont val="Arial"/>
        <b/>
        <color theme="1"/>
        <sz val="11.0"/>
      </rPr>
      <t>Tip:</t>
    </r>
    <r>
      <rPr>
        <rFont val="Arial"/>
        <color theme="1"/>
        <sz val="11.0"/>
      </rPr>
      <t xml:space="preserve"> </t>
    </r>
    <r>
      <rPr>
        <rFont val="Arial"/>
        <color theme="1"/>
        <sz val="11.0"/>
        <u/>
      </rPr>
      <t>Click on the cells and copy the text into a text editor to see the full prompt</t>
    </r>
    <r>
      <rPr>
        <rFont val="Arial"/>
        <color theme="1"/>
        <sz val="11.0"/>
      </rPr>
      <t>, especially in the substituted cell G22.</t>
    </r>
  </si>
  <si>
    <t>Old Prompt + Claude's Incorrect Response 
(From Above) {{CONVO_HISTORY}}</t>
  </si>
  <si>
    <t>Claude's New Response</t>
  </si>
  <si>
    <t>{{CONVO_HISTORY}}
User: Please find replacements for all "words" that are not real words.</t>
  </si>
  <si>
    <r>
      <rPr>
        <rFont val="Arial"/>
        <color theme="1"/>
        <sz val="11.0"/>
      </rPr>
      <t xml:space="preserve">But is Claude revising its answer just because we told it to? What if we start off with a correct answer already? Will Claude lose its confidence? Here, we've </t>
    </r>
    <r>
      <rPr>
        <rFont val="Arial"/>
        <color theme="1"/>
        <sz val="11.0"/>
        <u/>
      </rPr>
      <t>placed a correct response in the purple box, and asked it to double check</t>
    </r>
    <r>
      <rPr>
        <rFont val="Arial"/>
        <color theme="1"/>
        <sz val="11.0"/>
      </rPr>
      <t xml:space="preserve"> again.</t>
    </r>
  </si>
  <si>
    <t>Hypothetical Correct Response from Claude {{CONVO_HISTORY}}</t>
  </si>
  <si>
    <r>
      <rPr>
        <rFont val="Arial"/>
        <color theme="1"/>
        <sz val="11.0"/>
      </rPr>
      <t xml:space="preserve">Turns out, nope! </t>
    </r>
    <r>
      <rPr>
        <rFont val="Arial"/>
        <color theme="1"/>
        <sz val="11.0"/>
        <u/>
      </rPr>
      <t>Claude did not waver in its correct answer in this case.</t>
    </r>
  </si>
  <si>
    <r>
      <rPr>
        <rFont val="Arial"/>
        <color theme="1"/>
        <sz val="11.0"/>
      </rPr>
      <t xml:space="preserve">You can also just </t>
    </r>
    <r>
      <rPr>
        <rFont val="Arial"/>
        <color theme="1"/>
        <sz val="11.0"/>
        <u/>
      </rPr>
      <t>ask Claude to make its responses better.</t>
    </r>
    <r>
      <rPr>
        <rFont val="Arial"/>
        <color theme="1"/>
        <sz val="11.0"/>
      </rPr>
      <t xml:space="preserve"> Below, we asked Claude to first write a story, and then improve the story it wrote. Your personal tastes may vary, but many might agree that Claude's second version is better. </t>
    </r>
  </si>
  <si>
    <t>Claude's Response (First Version of Story)</t>
  </si>
  <si>
    <t>User: Write a three-sentence short story about a girl who likes to run.</t>
  </si>
  <si>
    <t>Claude's Previous Story {{PAST_STORY}}</t>
  </si>
  <si>
    <t>Claude's New Story</t>
  </si>
  <si>
    <t>{{PAST_STORY}}
User: Make the story better.</t>
  </si>
  <si>
    <r>
      <rPr>
        <rFont val="Arial"/>
        <color theme="1"/>
        <sz val="11.0"/>
      </rPr>
      <t xml:space="preserve">This form of substitution is very powerful. We've been using substitution placeholders to pass in lists, words, Claude's former responses, and so on. You can also </t>
    </r>
    <r>
      <rPr>
        <rFont val="Arial"/>
        <color theme="1"/>
        <sz val="11.0"/>
        <u/>
      </rPr>
      <t>use substitution to do what we call "function calling," which is asking Claude to perform some function, and then taking the results of that function and asking Claude to do even more afterward with the results</t>
    </r>
    <r>
      <rPr>
        <rFont val="Arial"/>
        <color theme="1"/>
        <sz val="11.0"/>
      </rPr>
      <t>. It works like any other substitution. More on this in the next appendix.
Below is one more example of taking the results of one call to Claude and plugging it into another, longer call.</t>
    </r>
  </si>
  <si>
    <t>First Prompt</t>
  </si>
  <si>
    <t>Claude's First Response → {{NAMES}}</t>
  </si>
  <si>
    <t>New Prompt Template (&lt;/names&gt; comes from the previous output)</t>
  </si>
  <si>
    <t>User: Find all names from the below text:
"Hey, Jesse. It's me, Erin. I'm calling about the party that Joey is throwing tomorrow. Keisha said she would come and I think Mel will be there too."
Assistant: &lt;names&gt;</t>
  </si>
  <si>
    <t>User: Here is a list of names: 
&lt;names&gt;{{NAMES}}
Please alphabetize the list.</t>
  </si>
  <si>
    <t>New Prompt after Substitution</t>
  </si>
  <si>
    <t>Claude's Second Response</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</si>
  <si>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</si>
  <si>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New Prompt Template</t>
  </si>
  <si>
    <t>← Chapter 9: Congratulations &amp; Next Steps</t>
  </si>
  <si>
    <t>Appendix: Function Calling →</t>
  </si>
  <si>
    <t>Appendix: Function Calling</t>
  </si>
  <si>
    <r>
      <rPr>
        <rFont val="Arial"/>
      </rPr>
      <t xml:space="preserve">Our function calling system and syntax is due for improvements in the near future. We will have a full function calling lesson up when those improvements have been implemented. 
For now, if you would like to learn how to use functions and tools with Claude, see our function calling </t>
    </r>
    <r>
      <rPr>
        <rFont val="Arial"/>
        <color rgb="FF1155CC"/>
        <u/>
      </rPr>
      <t>documentation</t>
    </r>
    <r>
      <rPr>
        <rFont val="Arial"/>
      </rPr>
      <t xml:space="preserve">, </t>
    </r>
    <r>
      <rPr>
        <rFont val="Arial"/>
        <color rgb="FF1155CC"/>
        <u/>
      </rPr>
      <t>cookbook recipe</t>
    </r>
    <r>
      <rPr>
        <rFont val="Arial"/>
      </rPr>
      <t xml:space="preserve">, </t>
    </r>
    <r>
      <rPr>
        <rFont val="Arial"/>
        <color rgb="FF1155CC"/>
        <u/>
      </rPr>
      <t>tool use repo</t>
    </r>
    <r>
      <rPr>
        <rFont val="Arial"/>
      </rPr>
      <t>.</t>
    </r>
  </si>
  <si>
    <t>← Appendix: Chaining Prompts</t>
  </si>
  <si>
    <t>Appendix: Search &amp; Retrieval →</t>
  </si>
  <si>
    <t>Appendix: Search &amp; Retrieval</t>
  </si>
  <si>
    <r>
      <rPr>
        <sz val="10.0"/>
      </rPr>
      <t xml:space="preserve">Did you know you can </t>
    </r>
    <r>
      <rPr>
        <sz val="10.0"/>
        <u/>
      </rPr>
      <t>use Claude to search through Wikipedia</t>
    </r>
    <r>
      <rPr>
        <sz val="10.0"/>
      </rPr>
      <t xml:space="preserve"> for you? Claude can find and retrieve articles, at which point you can also use Claude to summarize and synthesize them, write novel content from what it found, and much more. And not just wikipedia! You can also search over your own docs, whether stored as plain text or embedded in a vector datastore.
See our </t>
    </r>
    <r>
      <rPr>
        <color rgb="FF1155CC"/>
        <sz val="10.0"/>
        <u/>
      </rPr>
      <t>RAG cookbook examples</t>
    </r>
    <r>
      <rPr>
        <sz val="10.0"/>
      </rPr>
      <t xml:space="preserve"> to learn how to supplement Claude's knowledge and improve the accuracy and relevance of Claude's responses with data retrieved from vector databases, Wikipedia, the internet, and more. There, you can also learn about how to use certain </t>
    </r>
    <r>
      <rPr>
        <color rgb="FF1155CC"/>
        <sz val="10.0"/>
        <u/>
      </rPr>
      <t>embeddings</t>
    </r>
    <r>
      <rPr>
        <sz val="10.0"/>
      </rPr>
      <t xml:space="preserve"> and vector database tools.</t>
    </r>
  </si>
</sst>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24.0"/>
      <color theme="1"/>
      <name val="Arial"/>
      <scheme val="minor"/>
    </font>
    <font>
      <b/>
      <sz val="22.0"/>
      <color theme="1"/>
      <name val="Arial"/>
      <scheme val="minor"/>
    </font>
    <font>
      <color theme="1"/>
      <name val="Arial"/>
      <scheme val="minor"/>
    </font>
    <font>
      <sz val="14.0"/>
      <color theme="1"/>
      <name val="Arial"/>
      <scheme val="minor"/>
    </font>
    <font>
      <sz val="14.0"/>
      <color rgb="FF0000FF"/>
    </font>
    <font/>
    <font>
      <b/>
      <sz val="16.0"/>
      <color theme="1"/>
      <name val="Arial"/>
      <scheme val="minor"/>
    </font>
    <font>
      <sz val="11.0"/>
      <color theme="1"/>
      <name val="Arial"/>
      <scheme val="minor"/>
    </font>
    <font>
      <u/>
      <sz val="11.0"/>
      <color rgb="FF0000FF"/>
    </font>
    <font>
      <sz val="11.0"/>
      <color rgb="FF000000"/>
      <name val="Arial"/>
    </font>
    <font>
      <sz val="11.0"/>
      <color rgb="FF0000FF"/>
    </font>
    <font>
      <b/>
      <color theme="1"/>
      <name val="Arial"/>
      <scheme val="minor"/>
    </font>
    <font>
      <b/>
      <sz val="11.0"/>
      <color rgb="FF000000"/>
      <name val="Arial"/>
      <scheme val="minor"/>
    </font>
    <font>
      <sz val="11.0"/>
      <color rgb="FF000000"/>
      <name val="Arial"/>
      <scheme val="minor"/>
    </font>
    <font>
      <sz val="11.0"/>
      <color rgb="FF999999"/>
      <name val="Arial"/>
      <scheme val="minor"/>
    </font>
    <font>
      <u/>
      <sz val="11.0"/>
      <color rgb="FF999999"/>
    </font>
    <font>
      <b/>
      <sz val="29.0"/>
      <color theme="1"/>
      <name val="Arial"/>
      <scheme val="minor"/>
    </font>
    <font>
      <u/>
      <sz val="11.0"/>
      <color rgb="FF0000FF"/>
    </font>
    <font>
      <sz val="12.0"/>
      <color theme="1"/>
      <name val="Arial"/>
      <scheme val="minor"/>
    </font>
    <font>
      <u/>
      <color rgb="FF0000FF"/>
    </font>
    <font>
      <u/>
      <sz val="11.0"/>
      <color rgb="FF999999"/>
    </font>
    <font>
      <u/>
      <sz val="11.0"/>
      <color rgb="FF0000FF"/>
    </font>
    <font>
      <u/>
      <sz val="11.0"/>
      <color rgb="FF999999"/>
    </font>
    <font>
      <u/>
      <sz val="11.0"/>
      <color rgb="FF1F1F1F"/>
    </font>
    <font>
      <u/>
      <sz val="11.0"/>
      <color rgb="FF0000FF"/>
    </font>
    <font>
      <color theme="1"/>
      <name val="Arial"/>
    </font>
    <font>
      <sz val="11.0"/>
      <color theme="1"/>
      <name val="Arial"/>
    </font>
    <font>
      <b/>
      <color theme="1"/>
      <name val="Arial"/>
    </font>
    <font>
      <b/>
      <u/>
      <sz val="11.0"/>
      <color rgb="FF0000FF"/>
      <name val="Arial"/>
    </font>
    <font>
      <u/>
      <sz val="11.0"/>
      <color rgb="FF999999"/>
    </font>
    <font>
      <color rgb="FF999999"/>
      <name val="Arial"/>
      <scheme val="minor"/>
    </font>
    <font>
      <u/>
      <sz val="11.0"/>
      <color rgb="FF999999"/>
    </font>
    <font>
      <sz val="10.0"/>
      <color theme="1"/>
      <name val="Arial"/>
      <scheme val="minor"/>
    </font>
    <font>
      <b/>
      <sz val="11.0"/>
      <color theme="1"/>
      <name val="Arial"/>
      <scheme val="minor"/>
    </font>
    <font>
      <b/>
      <sz val="22.0"/>
      <color theme="1"/>
      <name val="Arial"/>
    </font>
    <font>
      <b/>
      <sz val="16.0"/>
      <color theme="1"/>
      <name val="Arial"/>
    </font>
    <font>
      <u/>
      <sz val="11.0"/>
      <color rgb="FF1155CC"/>
      <name val="Arial"/>
    </font>
    <font>
      <u/>
      <sz val="11.0"/>
      <color rgb="FF999999"/>
      <name val="Arial"/>
    </font>
    <font>
      <b/>
      <sz val="11.0"/>
      <color rgb="FF1F1F1F"/>
      <name val="Arial"/>
    </font>
    <font>
      <u/>
      <sz val="11.0"/>
      <color rgb="FF999999"/>
      <name val="Arial"/>
    </font>
    <font>
      <u/>
      <sz val="11.0"/>
      <color rgb="FF999999"/>
      <name val="Arial"/>
    </font>
    <font>
      <u/>
      <sz val="11.0"/>
      <color rgb="FF999999"/>
      <name val="Arial"/>
    </font>
    <font>
      <u/>
      <sz val="11.0"/>
      <color rgb="FF999999"/>
      <name val="Arial"/>
    </font>
    <font>
      <u/>
      <sz val="11.0"/>
      <color rgb="FF999999"/>
      <name val="Arial"/>
    </font>
    <font>
      <sz val="11.0"/>
      <color rgb="FF1F1F1F"/>
      <name val="Arial"/>
      <scheme val="minor"/>
    </font>
    <font>
      <b/>
      <sz val="11.0"/>
      <color theme="1"/>
      <name val="Arial"/>
    </font>
    <font>
      <b/>
      <sz val="15.0"/>
      <color theme="1"/>
      <name val="Arial"/>
    </font>
    <font>
      <b/>
      <sz val="12.0"/>
      <color theme="1"/>
      <name val="Arial"/>
    </font>
    <font>
      <sz val="11.0"/>
      <color rgb="FF0000FF"/>
      <name val="Arial"/>
    </font>
    <font>
      <u/>
      <sz val="11.0"/>
      <color rgb="FF999999"/>
      <name val="Arial"/>
    </font>
    <font>
      <u/>
      <sz val="11.0"/>
      <color rgb="FF999999"/>
      <name val="Arial"/>
    </font>
    <font>
      <b/>
      <sz val="15.0"/>
      <color theme="1"/>
      <name val="Arial"/>
      <scheme val="minor"/>
    </font>
    <font>
      <b/>
      <sz val="12.0"/>
      <color theme="1"/>
      <name val="Arial"/>
      <scheme val="minor"/>
    </font>
    <font>
      <sz val="18.0"/>
      <color theme="1"/>
      <name val="Arial"/>
      <scheme val="minor"/>
    </font>
    <font>
      <sz val="18.0"/>
      <color theme="1"/>
      <name val="Arial"/>
    </font>
    <font>
      <sz val="11.0"/>
      <color rgb="FFFF9900"/>
      <name val="Arial"/>
      <scheme val="minor"/>
    </font>
    <font>
      <sz val="11.0"/>
      <color theme="7"/>
      <name val="Arial"/>
      <scheme val="minor"/>
    </font>
    <font>
      <sz val="11.0"/>
      <color rgb="FF9900FF"/>
      <name val="Arial"/>
      <scheme val="minor"/>
    </font>
    <font>
      <sz val="11.0"/>
      <color rgb="FFFF0000"/>
      <name val="Arial"/>
      <scheme val="minor"/>
    </font>
    <font>
      <sz val="11.0"/>
      <color rgb="FF34A853"/>
      <name val="Arial"/>
      <scheme val="minor"/>
    </font>
    <font>
      <sz val="11.0"/>
      <color rgb="FF1F1F1F"/>
      <name val="Arial"/>
    </font>
    <font>
      <u/>
      <sz val="11.0"/>
      <color rgb="FF1F1F1F"/>
    </font>
    <font>
      <u/>
      <sz val="11.0"/>
      <color rgb="FF0000FF"/>
    </font>
    <font>
      <u/>
      <sz val="11.0"/>
      <color rgb="FF999999"/>
      <name val="Arial"/>
    </font>
    <font>
      <sz val="12.0"/>
      <color rgb="FF000000"/>
      <name val="Arial"/>
    </font>
    <font>
      <u/>
      <sz val="11.0"/>
      <color rgb="FF0000FF"/>
    </font>
    <font>
      <u/>
      <sz val="11.0"/>
      <color rgb="FF000000"/>
      <name val="Arial"/>
    </font>
    <font>
      <sz val="12.0"/>
      <color theme="1"/>
      <name val="Arial"/>
    </font>
    <font>
      <u/>
      <sz val="11.0"/>
      <color rgb="FF0000FF"/>
      <name val="Arial"/>
    </font>
    <font>
      <u/>
      <sz val="11.0"/>
      <color rgb="FF0000FF"/>
    </font>
    <font>
      <u/>
      <color rgb="FF0000FF"/>
      <name val="Arial"/>
    </font>
    <font>
      <u/>
      <sz val="11.0"/>
      <color rgb="FF999999"/>
      <name val="Arial"/>
      <scheme val="minor"/>
    </font>
    <font>
      <u/>
      <sz val="11.0"/>
      <color rgb="FF999999"/>
      <name val="Arial"/>
      <scheme val="minor"/>
    </font>
    <font>
      <u/>
      <sz val="10.0"/>
      <color rgb="FF0000FF"/>
    </font>
    <font>
      <u/>
      <sz val="11.0"/>
      <color rgb="FF999999"/>
      <name val="Arial"/>
      <scheme val="minor"/>
    </font>
  </fonts>
  <fills count="18">
    <fill>
      <patternFill patternType="none"/>
    </fill>
    <fill>
      <patternFill patternType="lightGray"/>
    </fill>
    <fill>
      <patternFill patternType="solid">
        <fgColor rgb="FFB86046"/>
        <bgColor rgb="FFB86046"/>
      </patternFill>
    </fill>
    <fill>
      <patternFill patternType="solid">
        <fgColor rgb="FFD19B75"/>
        <bgColor rgb="FFD19B75"/>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FFF2CC"/>
        <bgColor rgb="FFFFF2CC"/>
      </patternFill>
    </fill>
    <fill>
      <patternFill patternType="solid">
        <fgColor rgb="FFF9CB9C"/>
        <bgColor rgb="FFF9CB9C"/>
      </patternFill>
    </fill>
    <fill>
      <patternFill patternType="solid">
        <fgColor rgb="FFE5E5E1"/>
        <bgColor rgb="FFE5E5E1"/>
      </patternFill>
    </fill>
    <fill>
      <patternFill patternType="solid">
        <fgColor rgb="FFE5E5E2"/>
        <bgColor rgb="FFE5E5E2"/>
      </patternFill>
    </fill>
    <fill>
      <patternFill patternType="solid">
        <fgColor rgb="FFCFE2F3"/>
        <bgColor rgb="FFCFE2F3"/>
      </patternFill>
    </fill>
    <fill>
      <patternFill patternType="solid">
        <fgColor rgb="FFF4CCCC"/>
        <bgColor rgb="FFF4CCCC"/>
      </patternFill>
    </fill>
    <fill>
      <patternFill patternType="solid">
        <fgColor rgb="FFFCE5CD"/>
        <bgColor rgb="FFFCE5CD"/>
      </patternFill>
    </fill>
    <fill>
      <patternFill patternType="solid">
        <fgColor rgb="FFBFBFB9"/>
        <bgColor rgb="FFBFBFB9"/>
      </patternFill>
    </fill>
    <fill>
      <patternFill patternType="solid">
        <fgColor rgb="FFF3F3F3"/>
        <bgColor rgb="FFF3F3F3"/>
      </patternFill>
    </fill>
    <fill>
      <patternFill patternType="solid">
        <fgColor rgb="FFD9D2E9"/>
        <bgColor rgb="FFD9D2E9"/>
      </patternFill>
    </fill>
  </fills>
  <borders count="54">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dotted">
        <color rgb="FF000000"/>
      </top>
    </border>
    <border>
      <top style="dotted">
        <color rgb="FF000000"/>
      </top>
    </border>
    <border>
      <right style="medium">
        <color rgb="FF000000"/>
      </right>
      <top style="dotted">
        <color rgb="FF000000"/>
      </top>
    </border>
    <border>
      <left style="dotted">
        <color rgb="FF999999"/>
      </left>
      <right style="dotted">
        <color rgb="FF999999"/>
      </right>
      <top style="dotted">
        <color rgb="FF999999"/>
      </top>
      <bottom style="dotted">
        <color rgb="FF999999"/>
      </bottom>
    </border>
    <border>
      <left style="dotted">
        <color rgb="FF999999"/>
      </left>
      <right style="dotted">
        <color rgb="FF999999"/>
      </right>
      <top style="dotted">
        <color rgb="FF999999"/>
      </top>
    </border>
    <border>
      <left style="dotted">
        <color rgb="FF999999"/>
      </left>
      <right style="dotted">
        <color rgb="FF999999"/>
      </right>
    </border>
    <border>
      <left style="dotted">
        <color rgb="FF999999"/>
      </left>
      <right style="dotted">
        <color rgb="FF999999"/>
      </right>
      <bottom style="dotted">
        <color rgb="FF999999"/>
      </bottom>
    </border>
    <border>
      <left style="dotted">
        <color rgb="FF999999"/>
      </left>
      <right style="dotted">
        <color rgb="FF434343"/>
      </right>
      <top style="dotted">
        <color rgb="FF999999"/>
      </top>
    </border>
    <border>
      <left style="dotted">
        <color rgb="FF999999"/>
      </left>
      <right style="dotted">
        <color rgb="FF434343"/>
      </right>
      <bottom style="dotted">
        <color rgb="FF434343"/>
      </bottom>
    </border>
    <border>
      <bottom style="dotted">
        <color rgb="FF999999"/>
      </bottom>
    </border>
    <border>
      <right style="dotted">
        <color rgb="FF999999"/>
      </right>
    </border>
    <border>
      <right style="dotted">
        <color rgb="FF999999"/>
      </right>
      <top style="dotted">
        <color rgb="FF999999"/>
      </top>
      <bottom style="dotted">
        <color rgb="FF999999"/>
      </bottom>
    </border>
    <border>
      <left style="thick">
        <color rgb="FFBF9000"/>
      </left>
      <right style="thick">
        <color rgb="FFBF9000"/>
      </right>
      <top style="thick">
        <color rgb="FFBF9000"/>
      </top>
      <bottom style="thick">
        <color rgb="FFBF9000"/>
      </bottom>
    </border>
    <border>
      <left style="thick">
        <color rgb="FFB45F06"/>
      </left>
      <right style="thick">
        <color rgb="FFB45F06"/>
      </right>
      <top style="thick">
        <color rgb="FFB45F06"/>
      </top>
      <bottom style="thick">
        <color rgb="FFB45F06"/>
      </bottom>
    </border>
    <border>
      <right style="dotted">
        <color rgb="FF999999"/>
      </right>
      <bottom style="dotted">
        <color rgb="FF999999"/>
      </bottom>
    </border>
    <border>
      <top style="thick">
        <color rgb="FF000000"/>
      </top>
    </border>
    <border>
      <right style="medium">
        <color rgb="FF000000"/>
      </right>
      <top style="thick">
        <color rgb="FF000000"/>
      </top>
    </border>
    <border>
      <left style="thick">
        <color rgb="FFBF9000"/>
      </left>
      <right style="thick">
        <color rgb="FFBF9000"/>
      </right>
      <top style="thick">
        <color rgb="FFBF9000"/>
      </top>
    </border>
    <border>
      <left style="thick">
        <color rgb="FFBF9000"/>
      </left>
      <right style="thick">
        <color rgb="FFBF9000"/>
      </right>
    </border>
    <border>
      <left style="thick">
        <color rgb="FFBF9000"/>
      </left>
      <right style="thick">
        <color rgb="FFBF9000"/>
      </right>
      <bottom style="thick">
        <color rgb="FFBF9000"/>
      </bottom>
    </border>
    <border>
      <bottom style="thick">
        <color rgb="FFBF9000"/>
      </bottom>
    </border>
    <border>
      <right style="thick">
        <color rgb="FFBF9000"/>
      </right>
    </border>
    <border>
      <left style="thick">
        <color rgb="FFBF9000"/>
      </left>
      <top style="thick">
        <color rgb="FFBF9000"/>
      </top>
    </border>
    <border>
      <top style="thick">
        <color rgb="FFBF9000"/>
      </top>
    </border>
    <border>
      <right style="thick">
        <color rgb="FFBF9000"/>
      </right>
      <top style="thick">
        <color rgb="FFBF9000"/>
      </top>
    </border>
    <border>
      <left style="thick">
        <color rgb="FFBF9000"/>
      </left>
    </border>
    <border>
      <left style="thick">
        <color rgb="FFBF9000"/>
      </left>
      <bottom style="thick">
        <color rgb="FFBF9000"/>
      </bottom>
    </border>
    <border>
      <right style="thick">
        <color rgb="FFBF9000"/>
      </right>
      <bottom style="thick">
        <color rgb="FFBF9000"/>
      </bottom>
    </border>
    <border>
      <right style="dotted">
        <color rgb="FF999999"/>
      </right>
      <top style="dotted">
        <color rgb="FF999999"/>
      </top>
    </border>
    <border>
      <left style="dotted">
        <color rgb="FF999999"/>
      </left>
      <top style="dotted">
        <color rgb="FF999999"/>
      </top>
    </border>
    <border>
      <top style="dotted">
        <color rgb="FF999999"/>
      </top>
    </border>
    <border>
      <left style="dotted">
        <color rgb="FF999999"/>
      </left>
      <bottom style="dotted">
        <color rgb="FF999999"/>
      </bottom>
    </border>
    <border>
      <left style="dotted">
        <color rgb="FF434343"/>
      </left>
      <right style="dotted">
        <color rgb="FF434343"/>
      </right>
      <top style="dotted">
        <color rgb="FF434343"/>
      </top>
    </border>
    <border>
      <left style="dotted">
        <color rgb="FF434343"/>
      </left>
      <right style="dotted">
        <color rgb="FF434343"/>
      </right>
      <bottom style="dotted">
        <color rgb="FF434343"/>
      </bottom>
    </border>
    <border>
      <left style="dotted">
        <color rgb="FF434343"/>
      </left>
      <right style="dotted">
        <color rgb="FF434343"/>
      </right>
    </border>
    <border>
      <left style="dotted">
        <color rgb="FF999999"/>
      </left>
    </border>
    <border>
      <bottom style="medium">
        <color rgb="FFF1C232"/>
      </bottom>
    </border>
    <border>
      <right style="medium">
        <color rgb="FFF1C232"/>
      </right>
    </border>
    <border>
      <right style="medium">
        <color rgb="FFF1C232"/>
      </right>
      <bottom style="medium">
        <color rgb="FFF1C232"/>
      </bottom>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vertical="center"/>
    </xf>
    <xf borderId="0" fillId="3" fontId="3" numFmtId="0" xfId="0" applyFont="1"/>
    <xf borderId="0" fillId="0" fontId="4" numFmtId="0" xfId="0" applyFont="1"/>
    <xf borderId="1" fillId="0" fontId="5" numFmtId="0" xfId="0" applyAlignment="1" applyBorder="1" applyFont="1">
      <alignment readingOrder="0" shrinkToFit="0" vertical="center" wrapText="1"/>
    </xf>
    <xf borderId="2" fillId="0" fontId="6" numFmtId="0" xfId="0" applyBorder="1" applyFont="1"/>
    <xf borderId="3" fillId="0" fontId="6" numFmtId="0" xfId="0" applyBorder="1" applyFont="1"/>
    <xf borderId="4" fillId="0" fontId="7" numFmtId="0" xfId="0" applyAlignment="1" applyBorder="1" applyFont="1">
      <alignment readingOrder="0"/>
    </xf>
    <xf borderId="5" fillId="0" fontId="3" numFmtId="0" xfId="0" applyBorder="1" applyFont="1"/>
    <xf borderId="6" fillId="0" fontId="3" numFmtId="0" xfId="0" applyBorder="1" applyFont="1"/>
    <xf borderId="7" fillId="0" fontId="8" numFmtId="0" xfId="0" applyAlignment="1" applyBorder="1" applyFont="1">
      <alignment readingOrder="0" shrinkToFit="0" wrapText="1"/>
    </xf>
    <xf borderId="8" fillId="0" fontId="6" numFmtId="0" xfId="0" applyBorder="1" applyFont="1"/>
    <xf borderId="7" fillId="0" fontId="8" numFmtId="0" xfId="0" applyAlignment="1" applyBorder="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7" fillId="4" fontId="10" numFmtId="0" xfId="0" applyAlignment="1" applyBorder="1" applyFill="1" applyFont="1">
      <alignment horizontal="left" readingOrder="0"/>
    </xf>
    <xf borderId="8" fillId="0" fontId="8" numFmtId="0" xfId="0" applyAlignment="1" applyBorder="1" applyFont="1">
      <alignment readingOrder="0" shrinkToFit="0" wrapText="1"/>
    </xf>
    <xf borderId="0" fillId="0" fontId="11" numFmtId="0" xfId="0" applyAlignment="1" applyFont="1">
      <alignment readingOrder="0" shrinkToFit="0" wrapText="1"/>
    </xf>
    <xf borderId="9" fillId="0" fontId="8" numFmtId="0" xfId="0" applyAlignment="1" applyBorder="1" applyFont="1">
      <alignment readingOrder="0" shrinkToFit="0" wrapText="1"/>
    </xf>
    <xf borderId="10" fillId="0" fontId="8" numFmtId="0" xfId="0" applyAlignment="1" applyBorder="1" applyFont="1">
      <alignment readingOrder="0" shrinkToFit="0" wrapText="1"/>
    </xf>
    <xf borderId="11" fillId="0" fontId="8" numFmtId="0" xfId="0" applyAlignment="1" applyBorder="1" applyFont="1">
      <alignment readingOrder="0" shrinkToFit="0" wrapText="1"/>
    </xf>
    <xf borderId="7" fillId="0" fontId="3" numFmtId="0" xfId="0" applyAlignment="1" applyBorder="1" applyFont="1">
      <alignment readingOrder="0"/>
    </xf>
    <xf borderId="0" fillId="0" fontId="3" numFmtId="0" xfId="0" applyAlignment="1" applyFont="1">
      <alignment readingOrder="0"/>
    </xf>
    <xf borderId="8" fillId="0" fontId="3" numFmtId="0" xfId="0" applyBorder="1" applyFont="1"/>
    <xf borderId="7" fillId="0" fontId="3" numFmtId="0" xfId="0" applyBorder="1" applyFont="1"/>
    <xf borderId="0" fillId="0" fontId="12" numFmtId="0" xfId="0" applyAlignment="1" applyFont="1">
      <alignment readingOrder="0"/>
    </xf>
    <xf borderId="0" fillId="0" fontId="8" numFmtId="0" xfId="0" applyAlignment="1" applyFont="1">
      <alignment horizontal="left" readingOrder="0"/>
    </xf>
    <xf borderId="7" fillId="0" fontId="8" numFmtId="0" xfId="0" applyAlignment="1" applyBorder="1" applyFont="1">
      <alignment readingOrder="0"/>
    </xf>
    <xf borderId="0" fillId="0" fontId="8" numFmtId="0" xfId="0" applyAlignment="1" applyFont="1">
      <alignment readingOrder="0"/>
    </xf>
    <xf borderId="8" fillId="0" fontId="8" numFmtId="0" xfId="0" applyAlignment="1" applyBorder="1" applyFont="1">
      <alignment readingOrder="0"/>
    </xf>
    <xf borderId="9" fillId="0" fontId="8" numFmtId="0" xfId="0" applyAlignment="1" applyBorder="1" applyFont="1">
      <alignment readingOrder="0"/>
    </xf>
    <xf borderId="10" fillId="0" fontId="8" numFmtId="0" xfId="0" applyAlignment="1" applyBorder="1" applyFont="1">
      <alignment readingOrder="0"/>
    </xf>
    <xf borderId="11" fillId="0" fontId="8" numFmtId="0" xfId="0" applyAlignment="1" applyBorder="1" applyFont="1">
      <alignment readingOrder="0"/>
    </xf>
    <xf borderId="0" fillId="0" fontId="3" numFmtId="0" xfId="0" applyAlignment="1" applyFont="1">
      <alignment vertical="center"/>
    </xf>
    <xf borderId="12" fillId="5" fontId="13" numFmtId="0" xfId="0" applyAlignment="1" applyBorder="1" applyFill="1" applyFont="1">
      <alignment readingOrder="0" shrinkToFit="0" vertical="center" wrapText="0"/>
    </xf>
    <xf borderId="13" fillId="5" fontId="14" numFmtId="0" xfId="0" applyAlignment="1" applyBorder="1" applyFont="1">
      <alignment readingOrder="0" shrinkToFit="0" vertical="center" wrapText="0"/>
    </xf>
    <xf borderId="13" fillId="5" fontId="3" numFmtId="0" xfId="0" applyAlignment="1" applyBorder="1" applyFont="1">
      <alignment readingOrder="0" vertical="center"/>
    </xf>
    <xf borderId="13" fillId="5" fontId="15" numFmtId="0" xfId="0" applyAlignment="1" applyBorder="1" applyFont="1">
      <alignment horizontal="right" readingOrder="0" vertical="center"/>
    </xf>
    <xf borderId="14" fillId="5" fontId="15" numFmtId="0" xfId="0" applyAlignment="1" applyBorder="1" applyFont="1">
      <alignment horizontal="right" readingOrder="0" vertical="center"/>
    </xf>
    <xf borderId="0" fillId="0" fontId="15" numFmtId="0" xfId="0" applyAlignment="1" applyFont="1">
      <alignment readingOrder="0" shrinkToFit="0" wrapText="0"/>
    </xf>
    <xf borderId="0" fillId="0" fontId="15" numFmtId="0" xfId="0" applyAlignment="1" applyFont="1">
      <alignment horizontal="right" readingOrder="0"/>
    </xf>
    <xf borderId="0" fillId="0" fontId="16" numFmtId="0" xfId="0" applyAlignment="1" applyFont="1">
      <alignment horizontal="right" readingOrder="0"/>
    </xf>
    <xf borderId="0" fillId="0" fontId="12" numFmtId="0" xfId="0" applyAlignment="1" applyFont="1">
      <alignment horizontal="left" shrinkToFit="0" wrapText="1"/>
    </xf>
    <xf borderId="0" fillId="0" fontId="12" numFmtId="0" xfId="0" applyFont="1"/>
    <xf borderId="0" fillId="0" fontId="12" numFmtId="0" xfId="0" applyAlignment="1" applyFon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3" fontId="17" numFmtId="0" xfId="0" applyAlignment="1" applyFont="1">
      <alignment readingOrder="0" vertical="center"/>
    </xf>
    <xf borderId="10" fillId="0" fontId="6" numFmtId="0" xfId="0" applyBorder="1" applyFont="1"/>
    <xf borderId="11" fillId="0" fontId="6" numFmtId="0" xfId="0" applyBorder="1" applyFont="1"/>
    <xf borderId="7" fillId="0" fontId="18" numFmtId="0" xfId="0" applyAlignment="1" applyBorder="1" applyFont="1">
      <alignment readingOrder="0" shrinkToFit="0" wrapText="1"/>
    </xf>
    <xf borderId="15" fillId="6" fontId="19" numFmtId="0" xfId="0" applyAlignment="1" applyBorder="1" applyFill="1" applyFont="1">
      <alignment horizontal="center" readingOrder="0" textRotation="90" vertical="center"/>
    </xf>
    <xf borderId="16" fillId="0" fontId="3" numFmtId="0" xfId="0" applyBorder="1" applyFont="1"/>
    <xf borderId="16" fillId="0" fontId="12" numFmtId="0" xfId="0" applyAlignment="1" applyBorder="1" applyFont="1">
      <alignment readingOrder="0"/>
    </xf>
    <xf borderId="16" fillId="0" fontId="6" numFmtId="0" xfId="0" applyBorder="1" applyFont="1"/>
    <xf borderId="17" fillId="0" fontId="6" numFmtId="0" xfId="0" applyBorder="1" applyFont="1"/>
    <xf borderId="7" fillId="0" fontId="6" numFmtId="0" xfId="0" applyBorder="1" applyFont="1"/>
    <xf borderId="0" fillId="0" fontId="20" numFmtId="0" xfId="0" applyAlignment="1" applyFont="1">
      <alignment readingOrder="0"/>
    </xf>
    <xf borderId="15" fillId="7" fontId="19" numFmtId="0" xfId="0" applyAlignment="1" applyBorder="1" applyFill="1" applyFont="1">
      <alignment horizontal="center" readingOrder="0" textRotation="90" vertical="center"/>
    </xf>
    <xf borderId="15" fillId="8" fontId="19" numFmtId="0" xfId="0" applyAlignment="1" applyBorder="1" applyFill="1" applyFont="1">
      <alignment horizontal="center" readingOrder="0" textRotation="90" vertical="center"/>
    </xf>
    <xf borderId="15" fillId="9" fontId="19" numFmtId="0" xfId="0" applyAlignment="1" applyBorder="1" applyFill="1" applyFont="1">
      <alignment horizontal="center" readingOrder="0" textRotation="90" vertical="center"/>
    </xf>
    <xf borderId="0" fillId="0" fontId="3" numFmtId="0" xfId="0" applyAlignment="1" applyFont="1">
      <alignment readingOrder="0"/>
    </xf>
    <xf borderId="8" fillId="0" fontId="3" numFmtId="0" xfId="0" applyAlignment="1" applyBorder="1" applyFont="1">
      <alignment readingOrder="0"/>
    </xf>
    <xf borderId="9" fillId="0" fontId="6" numFmtId="0" xfId="0" applyBorder="1" applyFont="1"/>
    <xf borderId="10" fillId="0" fontId="3" numFmtId="0" xfId="0" applyBorder="1" applyFont="1"/>
    <xf borderId="11" fillId="0" fontId="3" numFmtId="0" xfId="0" applyBorder="1" applyFont="1"/>
    <xf borderId="0" fillId="0" fontId="21" numFmtId="0" xfId="0" applyAlignment="1" applyFont="1">
      <alignment readingOrder="0" shrinkToFit="0" wrapText="0"/>
    </xf>
    <xf borderId="0" fillId="0" fontId="15" numFmtId="0" xfId="0" applyAlignment="1" applyFont="1">
      <alignment horizontal="right" readingOrder="0"/>
    </xf>
    <xf borderId="0" fillId="0" fontId="7" numFmtId="0" xfId="0" applyAlignment="1" applyFont="1">
      <alignment readingOrder="0"/>
    </xf>
    <xf borderId="0" fillId="0" fontId="22" numFmtId="0" xfId="0" applyAlignment="1" applyFont="1">
      <alignment readingOrder="0"/>
    </xf>
    <xf borderId="0" fillId="0" fontId="3" numFmtId="0" xfId="0" applyAlignment="1" applyFont="1">
      <alignment vertical="top"/>
    </xf>
    <xf borderId="4" fillId="0" fontId="7" numFmtId="0" xfId="0" applyAlignment="1" applyBorder="1" applyFont="1">
      <alignment readingOrder="0" vertical="top"/>
    </xf>
    <xf borderId="5" fillId="0" fontId="6" numFmtId="0" xfId="0" applyBorder="1" applyFont="1"/>
    <xf borderId="5" fillId="0" fontId="23" numFmtId="0" xfId="0" applyAlignment="1" applyBorder="1" applyFont="1">
      <alignment horizontal="right" readingOrder="0" vertical="top"/>
    </xf>
    <xf borderId="6" fillId="0" fontId="6" numFmtId="0" xfId="0" applyBorder="1" applyFont="1"/>
    <xf borderId="7" fillId="10" fontId="24" numFmtId="0" xfId="0" applyAlignment="1" applyBorder="1" applyFill="1" applyFont="1">
      <alignment readingOrder="0" shrinkToFit="0" wrapText="1"/>
    </xf>
    <xf borderId="7" fillId="0" fontId="8" numFmtId="0" xfId="0" applyAlignment="1" applyBorder="1" applyFont="1">
      <alignment readingOrder="0" shrinkToFit="0" wrapText="1"/>
    </xf>
    <xf borderId="0" fillId="0" fontId="8" numFmtId="0" xfId="0" applyAlignment="1" applyFont="1">
      <alignment readingOrder="0" shrinkToFit="0" wrapText="1"/>
    </xf>
    <xf borderId="8" fillId="0" fontId="8" numFmtId="0" xfId="0" applyAlignment="1" applyBorder="1" applyFont="1">
      <alignment readingOrder="0" shrinkToFit="0" wrapText="1"/>
    </xf>
    <xf borderId="7" fillId="10" fontId="8" numFmtId="0" xfId="0" applyAlignment="1" applyBorder="1" applyFont="1">
      <alignment readingOrder="0" shrinkToFit="0" wrapText="1"/>
    </xf>
    <xf borderId="7" fillId="10" fontId="8" numFmtId="0" xfId="0" applyAlignment="1" applyBorder="1" applyFont="1">
      <alignment readingOrder="0" shrinkToFit="0" vertical="top" wrapText="1"/>
    </xf>
    <xf borderId="0" fillId="10" fontId="8" numFmtId="0" xfId="0" applyAlignment="1" applyFont="1">
      <alignment readingOrder="0" shrinkToFit="0" vertical="top" wrapText="1"/>
    </xf>
    <xf borderId="8" fillId="10" fontId="8" numFmtId="0" xfId="0" applyAlignment="1" applyBorder="1" applyFont="1">
      <alignment readingOrder="0" shrinkToFit="0" vertical="top" wrapText="1"/>
    </xf>
    <xf borderId="0" fillId="10" fontId="25" numFmtId="0" xfId="0" applyAlignment="1" applyFont="1">
      <alignment readingOrder="0" shrinkToFit="0" vertical="top" wrapText="1"/>
    </xf>
    <xf borderId="0" fillId="0" fontId="3" numFmtId="0" xfId="0" applyAlignment="1" applyFont="1">
      <alignment vertical="bottom"/>
    </xf>
    <xf borderId="7" fillId="10" fontId="8" numFmtId="0" xfId="0" applyAlignment="1" applyBorder="1" applyFont="1">
      <alignment readingOrder="0" shrinkToFit="0" vertical="bottom" wrapText="1"/>
    </xf>
    <xf borderId="7" fillId="11" fontId="8" numFmtId="0" xfId="0" applyAlignment="1" applyBorder="1" applyFill="1" applyFont="1">
      <alignment readingOrder="0" shrinkToFit="0" wrapText="1"/>
    </xf>
    <xf borderId="9" fillId="11" fontId="8" numFmtId="0" xfId="0" applyAlignment="1" applyBorder="1" applyFont="1">
      <alignment readingOrder="0" shrinkToFit="0" wrapText="1"/>
    </xf>
    <xf borderId="7" fillId="10" fontId="8" numFmtId="0" xfId="0" applyAlignment="1" applyBorder="1" applyFont="1">
      <alignment readingOrder="0" shrinkToFit="0" wrapText="1"/>
    </xf>
    <xf borderId="18" fillId="8" fontId="3" numFmtId="0" xfId="0" applyAlignment="1" applyBorder="1" applyFont="1">
      <alignment readingOrder="0" shrinkToFit="0" vertical="top" wrapText="1"/>
    </xf>
    <xf borderId="0" fillId="0" fontId="3" numFmtId="0" xfId="0" applyAlignment="1" applyFont="1">
      <alignment horizontal="center" readingOrder="0" vertical="center"/>
    </xf>
    <xf borderId="18" fillId="12" fontId="3" numFmtId="0" xfId="0" applyAlignment="1" applyBorder="1" applyFill="1" applyFont="1">
      <alignment readingOrder="0" shrinkToFit="0" vertical="top" wrapText="1"/>
    </xf>
    <xf borderId="19" fillId="8" fontId="3" numFmtId="0" xfId="0" applyAlignment="1" applyBorder="1" applyFont="1">
      <alignment readingOrder="0" shrinkToFit="0" vertical="top" wrapText="1"/>
    </xf>
    <xf borderId="19" fillId="12" fontId="3" numFmtId="0" xfId="0" applyAlignment="1" applyBorder="1" applyFont="1">
      <alignment readingOrder="0" shrinkToFit="0" vertical="top" wrapText="1"/>
    </xf>
    <xf borderId="20" fillId="0" fontId="6" numFmtId="0" xfId="0" applyBorder="1" applyFont="1"/>
    <xf borderId="21" fillId="0" fontId="6" numFmtId="0" xfId="0" applyBorder="1" applyFont="1"/>
    <xf borderId="0" fillId="0" fontId="3" numFmtId="0" xfId="0" applyAlignment="1" applyFont="1">
      <alignment shrinkToFit="0" wrapText="1"/>
    </xf>
    <xf borderId="7" fillId="0" fontId="3" numFmtId="0" xfId="0" applyAlignment="1" applyBorder="1" applyFont="1">
      <alignment shrinkToFit="0" wrapText="1"/>
    </xf>
    <xf borderId="19" fillId="13" fontId="3" numFmtId="0" xfId="0" applyAlignment="1" applyBorder="1" applyFill="1" applyFont="1">
      <alignment readingOrder="0" shrinkToFit="0" vertical="top" wrapText="1"/>
    </xf>
    <xf borderId="0" fillId="0" fontId="3" numFmtId="0" xfId="0" applyAlignment="1" applyFont="1">
      <alignment horizontal="center" readingOrder="0" shrinkToFit="0" vertical="center" wrapText="1"/>
    </xf>
    <xf borderId="22" fillId="13" fontId="3" numFmtId="0" xfId="0" applyAlignment="1" applyBorder="1" applyFont="1">
      <alignment readingOrder="0" shrinkToFit="0" vertical="top" wrapText="1"/>
    </xf>
    <xf borderId="8" fillId="0" fontId="3" numFmtId="0" xfId="0" applyAlignment="1" applyBorder="1" applyFont="1">
      <alignment shrinkToFit="0" wrapText="1"/>
    </xf>
    <xf borderId="23" fillId="0" fontId="6" numFmtId="0" xfId="0" applyBorder="1" applyFont="1"/>
    <xf borderId="7" fillId="10" fontId="8" numFmtId="0" xfId="0" applyAlignment="1" applyBorder="1" applyFont="1">
      <alignment readingOrder="0"/>
    </xf>
    <xf borderId="18" fillId="13" fontId="3" numFmtId="0" xfId="0" applyAlignment="1" applyBorder="1" applyFont="1">
      <alignment readingOrder="0" shrinkToFit="0" vertical="top" wrapText="1"/>
    </xf>
    <xf borderId="8" fillId="0" fontId="26" numFmtId="0" xfId="0" applyAlignment="1" applyBorder="1" applyFont="1">
      <alignment vertical="bottom"/>
    </xf>
    <xf borderId="0" fillId="10" fontId="27" numFmtId="0" xfId="0" applyAlignment="1" applyFont="1">
      <alignment readingOrder="0" shrinkToFit="0" vertical="bottom" wrapText="1"/>
    </xf>
    <xf borderId="0" fillId="0" fontId="26" numFmtId="0" xfId="0" applyAlignment="1" applyFont="1">
      <alignment vertical="bottom"/>
    </xf>
    <xf borderId="24" fillId="0" fontId="28" numFmtId="0" xfId="0" applyAlignment="1" applyBorder="1" applyFont="1">
      <alignment readingOrder="0" vertical="bottom"/>
    </xf>
    <xf borderId="24" fillId="0" fontId="28" numFmtId="0" xfId="0" applyAlignment="1" applyBorder="1" applyFont="1">
      <alignment vertical="bottom"/>
    </xf>
    <xf borderId="25" fillId="0" fontId="26" numFmtId="0" xfId="0" applyAlignment="1" applyBorder="1" applyFont="1">
      <alignment vertical="bottom"/>
    </xf>
    <xf borderId="19" fillId="14" fontId="26" numFmtId="0" xfId="0" applyAlignment="1" applyBorder="1" applyFill="1" applyFont="1">
      <alignment horizontal="left" readingOrder="0" shrinkToFit="0" vertical="top" wrapText="1"/>
    </xf>
    <xf borderId="25" fillId="0" fontId="26" numFmtId="0" xfId="0" applyAlignment="1" applyBorder="1" applyFont="1">
      <alignment horizontal="center" shrinkToFit="0" vertical="center" wrapText="1"/>
    </xf>
    <xf borderId="25" fillId="0" fontId="6" numFmtId="0" xfId="0" applyBorder="1" applyFont="1"/>
    <xf borderId="0" fillId="0" fontId="28" numFmtId="0" xfId="0" applyAlignment="1" applyFont="1">
      <alignment readingOrder="0" vertical="bottom"/>
    </xf>
    <xf borderId="26" fillId="8" fontId="26" numFmtId="0" xfId="0" applyAlignment="1" applyBorder="1" applyFont="1">
      <alignment readingOrder="0" shrinkToFit="0" vertical="top" wrapText="1"/>
    </xf>
    <xf borderId="0" fillId="10" fontId="29" numFmtId="0" xfId="0" applyAlignment="1" applyFont="1">
      <alignment readingOrder="0" shrinkToFit="0" vertical="bottom" wrapText="1"/>
    </xf>
    <xf borderId="9" fillId="10" fontId="8" numFmtId="0" xfId="0" applyAlignment="1" applyBorder="1" applyFont="1">
      <alignment readingOrder="0" shrinkToFit="0" wrapText="1"/>
    </xf>
    <xf borderId="22" fillId="13" fontId="3" numFmtId="0" xfId="0" applyAlignment="1" applyBorder="1" applyFont="1">
      <alignment shrinkToFit="0" vertical="top" wrapText="1"/>
    </xf>
    <xf borderId="9" fillId="0" fontId="3" numFmtId="0" xfId="0" applyBorder="1" applyFont="1"/>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horizontal="center" readingOrder="0"/>
    </xf>
    <xf borderId="7" fillId="10" fontId="8" numFmtId="0" xfId="0" applyAlignment="1" applyBorder="1" applyFont="1">
      <alignment readingOrder="0" shrinkToFit="0" vertical="top" wrapText="1"/>
    </xf>
    <xf borderId="7" fillId="0" fontId="8" numFmtId="0" xfId="0" applyAlignment="1" applyBorder="1" applyFont="1">
      <alignment horizontal="left" readingOrder="0" shrinkToFit="0" vertical="top" wrapText="1"/>
    </xf>
    <xf borderId="27" fillId="8" fontId="3" numFmtId="0" xfId="0" applyAlignment="1" applyBorder="1" applyFont="1">
      <alignment readingOrder="0" shrinkToFit="0" vertical="top" wrapText="1"/>
    </xf>
    <xf borderId="7" fillId="10" fontId="10" numFmtId="0" xfId="0" applyAlignment="1" applyBorder="1" applyFont="1">
      <alignment horizontal="left" readingOrder="0" shrinkToFit="0" wrapText="1"/>
    </xf>
    <xf borderId="0" fillId="10" fontId="10" numFmtId="0" xfId="0" applyAlignment="1" applyFont="1">
      <alignment horizontal="left" readingOrder="0" shrinkToFit="0" wrapText="1"/>
    </xf>
    <xf borderId="7" fillId="15" fontId="10" numFmtId="0" xfId="0" applyAlignment="1" applyBorder="1" applyFill="1" applyFont="1">
      <alignment horizontal="left" readingOrder="0" shrinkToFit="0" wrapText="1"/>
    </xf>
    <xf borderId="28" fillId="14" fontId="26" numFmtId="0" xfId="0" applyAlignment="1" applyBorder="1" applyFont="1">
      <alignment readingOrder="0" shrinkToFit="0" vertical="top" wrapText="1"/>
    </xf>
    <xf borderId="19" fillId="13" fontId="26" numFmtId="0" xfId="0" applyAlignment="1" applyBorder="1" applyFont="1">
      <alignment horizontal="left" shrinkToFit="0" vertical="top" wrapText="1"/>
    </xf>
    <xf borderId="19" fillId="8" fontId="33" numFmtId="0" xfId="0" applyAlignment="1" applyBorder="1" applyFont="1">
      <alignment readingOrder="0" shrinkToFit="0" vertical="top" wrapText="1"/>
    </xf>
    <xf borderId="9" fillId="15" fontId="34" numFmtId="0" xfId="0" applyAlignment="1" applyBorder="1" applyFont="1">
      <alignment readingOrder="0" shrinkToFit="0" wrapText="1"/>
    </xf>
    <xf borderId="0" fillId="2" fontId="26" numFmtId="0" xfId="0" applyAlignment="1" applyFont="1">
      <alignment vertical="bottom"/>
    </xf>
    <xf borderId="0" fillId="3" fontId="35" numFmtId="0" xfId="0" applyFont="1"/>
    <xf borderId="0" fillId="3" fontId="26" numFmtId="0" xfId="0" applyAlignment="1" applyFont="1">
      <alignment vertical="bottom"/>
    </xf>
    <xf borderId="0" fillId="0" fontId="26" numFmtId="0" xfId="0" applyAlignment="1" applyFont="1">
      <alignment vertical="bottom"/>
    </xf>
    <xf borderId="0" fillId="0" fontId="36" numFmtId="0" xfId="0" applyAlignment="1" applyFont="1">
      <alignment vertical="bottom"/>
    </xf>
    <xf borderId="0" fillId="0" fontId="37" numFmtId="0" xfId="0" applyAlignment="1" applyFont="1">
      <alignment vertical="bottom"/>
    </xf>
    <xf borderId="10" fillId="0" fontId="26" numFmtId="0" xfId="0" applyAlignment="1" applyBorder="1" applyFont="1">
      <alignment vertical="bottom"/>
    </xf>
    <xf borderId="8" fillId="0" fontId="26" numFmtId="0" xfId="0" applyAlignment="1" applyBorder="1" applyFont="1">
      <alignment vertical="top"/>
    </xf>
    <xf borderId="0" fillId="0" fontId="36" numFmtId="0" xfId="0" applyAlignment="1" applyFont="1">
      <alignment vertical="top"/>
    </xf>
    <xf borderId="0" fillId="0" fontId="38" numFmtId="0" xfId="0" applyAlignment="1" applyFont="1">
      <alignment horizontal="right" vertical="top"/>
    </xf>
    <xf borderId="0" fillId="0" fontId="26" numFmtId="0" xfId="0" applyAlignment="1" applyFont="1">
      <alignment vertical="top"/>
    </xf>
    <xf borderId="0" fillId="10" fontId="39" numFmtId="0" xfId="0" applyAlignment="1" applyFont="1">
      <alignment readingOrder="0" shrinkToFit="0" vertical="bottom" wrapText="1"/>
    </xf>
    <xf borderId="8" fillId="0" fontId="26" numFmtId="0" xfId="0" applyAlignment="1" applyBorder="1" applyFont="1">
      <alignment vertical="bottom"/>
    </xf>
    <xf borderId="10" fillId="10" fontId="27" numFmtId="0" xfId="0" applyAlignment="1" applyBorder="1" applyFont="1">
      <alignment shrinkToFit="0" vertical="bottom" wrapText="1"/>
    </xf>
    <xf borderId="0" fillId="10" fontId="27" numFmtId="0" xfId="0" applyAlignment="1" applyFont="1">
      <alignment shrinkToFit="0" vertical="bottom" wrapText="1"/>
    </xf>
    <xf borderId="24" fillId="0" fontId="28" numFmtId="0" xfId="0" applyAlignment="1" applyBorder="1" applyFont="1">
      <alignment vertical="bottom"/>
    </xf>
    <xf borderId="29" fillId="8" fontId="26" numFmtId="0" xfId="0" applyAlignment="1" applyBorder="1" applyFont="1">
      <alignment shrinkToFit="0" vertical="top" wrapText="1"/>
    </xf>
    <xf borderId="25" fillId="0" fontId="26" numFmtId="0" xfId="0" applyAlignment="1" applyBorder="1" applyFont="1">
      <alignment horizontal="center"/>
    </xf>
    <xf borderId="18" fillId="12" fontId="3" numFmtId="0" xfId="0" applyAlignment="1" applyBorder="1" applyFont="1">
      <alignment shrinkToFit="0" vertical="top" wrapText="1"/>
    </xf>
    <xf borderId="0" fillId="10" fontId="27" numFmtId="0" xfId="0" applyAlignment="1" applyFont="1">
      <alignment vertical="bottom"/>
    </xf>
    <xf borderId="25" fillId="0" fontId="26" numFmtId="0" xfId="0" applyAlignment="1" applyBorder="1" applyFont="1">
      <alignment horizontal="center" shrinkToFit="0" wrapText="1"/>
    </xf>
    <xf borderId="25" fillId="13" fontId="26" numFmtId="0" xfId="0" applyAlignment="1" applyBorder="1" applyFont="1">
      <alignment shrinkToFit="0" vertical="top" wrapText="1"/>
    </xf>
    <xf borderId="19" fillId="13" fontId="26" numFmtId="0" xfId="0" applyAlignment="1" applyBorder="1" applyFont="1">
      <alignment shrinkToFit="0" vertical="top" wrapText="1"/>
    </xf>
    <xf borderId="29" fillId="0" fontId="6" numFmtId="0" xfId="0" applyBorder="1" applyFont="1"/>
    <xf borderId="25" fillId="0" fontId="26" numFmtId="0" xfId="0" applyBorder="1" applyFont="1"/>
    <xf borderId="0" fillId="10" fontId="27" numFmtId="0" xfId="0" applyAlignment="1" applyFont="1">
      <alignment vertical="bottom"/>
    </xf>
    <xf borderId="25" fillId="8" fontId="26" numFmtId="0" xfId="0" applyAlignment="1" applyBorder="1" applyFont="1">
      <alignment shrinkToFit="0" vertical="top" wrapText="1"/>
    </xf>
    <xf borderId="25" fillId="0" fontId="26" numFmtId="0" xfId="0" applyAlignment="1" applyBorder="1" applyFont="1">
      <alignment horizontal="center" shrinkToFit="0" wrapText="1"/>
    </xf>
    <xf borderId="19" fillId="12" fontId="26" numFmtId="0" xfId="0" applyAlignment="1" applyBorder="1" applyFont="1">
      <alignment shrinkToFit="0" vertical="top" wrapText="1"/>
    </xf>
    <xf borderId="25" fillId="0" fontId="26" numFmtId="0" xfId="0" applyAlignment="1" applyBorder="1" applyFont="1">
      <alignment vertical="bottom"/>
    </xf>
    <xf borderId="25" fillId="0" fontId="26" numFmtId="0" xfId="0" applyBorder="1" applyFont="1"/>
    <xf borderId="10" fillId="10" fontId="27" numFmtId="0" xfId="0" applyAlignment="1" applyBorder="1" applyFont="1">
      <alignment shrinkToFit="0" vertical="bottom" wrapText="1"/>
    </xf>
    <xf borderId="0" fillId="0" fontId="40" numFmtId="0" xfId="0" applyAlignment="1" applyFont="1">
      <alignment horizontal="right" vertical="bottom"/>
    </xf>
    <xf borderId="30" fillId="0" fontId="36" numFmtId="0" xfId="0" applyAlignment="1" applyBorder="1" applyFont="1">
      <alignment vertical="top"/>
    </xf>
    <xf borderId="30" fillId="0" fontId="6" numFmtId="0" xfId="0" applyBorder="1" applyFont="1"/>
    <xf borderId="30" fillId="0" fontId="41" numFmtId="0" xfId="0" applyAlignment="1" applyBorder="1" applyFont="1">
      <alignment horizontal="right" vertical="top"/>
    </xf>
    <xf borderId="31" fillId="0" fontId="6" numFmtId="0" xfId="0" applyBorder="1" applyFont="1"/>
    <xf borderId="0" fillId="10" fontId="27" numFmtId="0" xfId="0" applyAlignment="1" applyFont="1">
      <alignment shrinkToFit="0" vertical="bottom" wrapText="1"/>
    </xf>
    <xf borderId="25" fillId="13" fontId="26" numFmtId="0" xfId="0" applyAlignment="1" applyBorder="1" applyFont="1">
      <alignment horizontal="left" readingOrder="0" shrinkToFit="0" vertical="top" wrapText="1"/>
    </xf>
    <xf borderId="24" fillId="0" fontId="26" numFmtId="0" xfId="0" applyAlignment="1" applyBorder="1" applyFont="1">
      <alignment vertical="bottom"/>
    </xf>
    <xf borderId="25" fillId="12" fontId="26" numFmtId="0" xfId="0" applyAlignment="1" applyBorder="1" applyFont="1">
      <alignment horizontal="left" readingOrder="0" shrinkToFit="0" vertical="top" wrapText="1"/>
    </xf>
    <xf borderId="11" fillId="0" fontId="26" numFmtId="0" xfId="0" applyAlignment="1" applyBorder="1" applyFont="1">
      <alignment vertical="bottom"/>
    </xf>
    <xf borderId="0" fillId="0" fontId="42" numFmtId="0" xfId="0" applyAlignment="1" applyFont="1">
      <alignment vertical="bottom"/>
    </xf>
    <xf borderId="0" fillId="0" fontId="43" numFmtId="0" xfId="0" applyAlignment="1" applyFont="1">
      <alignment horizontal="right" vertical="bottom"/>
    </xf>
    <xf borderId="0" fillId="0" fontId="44" numFmtId="0" xfId="0" applyAlignment="1" applyFont="1">
      <alignment horizontal="center" vertical="bottom"/>
    </xf>
    <xf borderId="32" fillId="8" fontId="3" numFmtId="0" xfId="0" applyAlignment="1" applyBorder="1" applyFont="1">
      <alignment readingOrder="0" shrinkToFit="0" vertical="top" wrapText="1"/>
    </xf>
    <xf borderId="33" fillId="0" fontId="6" numFmtId="0" xfId="0" applyBorder="1" applyFont="1"/>
    <xf borderId="34" fillId="0" fontId="6" numFmtId="0" xfId="0" applyBorder="1" applyFont="1"/>
    <xf borderId="5" fillId="0" fontId="7" numFmtId="0" xfId="0" applyAlignment="1" applyBorder="1" applyFont="1">
      <alignment readingOrder="0" vertical="top"/>
    </xf>
    <xf borderId="5" fillId="0" fontId="31" numFmtId="0" xfId="0" applyAlignment="1" applyBorder="1" applyFont="1">
      <alignment horizontal="right" readingOrder="0" vertical="top"/>
    </xf>
    <xf borderId="19" fillId="13" fontId="26" numFmtId="0" xfId="0" applyAlignment="1" applyBorder="1" applyFont="1">
      <alignment readingOrder="0" shrinkToFit="0" vertical="top" wrapText="1"/>
    </xf>
    <xf borderId="9" fillId="10" fontId="45" numFmtId="0" xfId="0" applyAlignment="1" applyBorder="1" applyFont="1">
      <alignment readingOrder="0" shrinkToFit="0" wrapText="1"/>
    </xf>
    <xf borderId="18" fillId="14" fontId="3" numFmtId="0" xfId="0" applyAlignment="1" applyBorder="1" applyFont="1">
      <alignment readingOrder="0" shrinkToFit="0" vertical="top" wrapText="1"/>
    </xf>
    <xf borderId="19" fillId="12" fontId="26" numFmtId="0" xfId="0" applyAlignment="1" applyBorder="1" applyFont="1">
      <alignment readingOrder="0" shrinkToFit="0" vertical="top" wrapText="1"/>
    </xf>
    <xf borderId="28" fillId="14" fontId="3" numFmtId="0" xfId="0" applyAlignment="1" applyBorder="1" applyFont="1">
      <alignment readingOrder="0" shrinkToFit="0" vertical="top" wrapText="1"/>
    </xf>
    <xf borderId="0" fillId="3" fontId="26" numFmtId="0" xfId="0" applyFont="1"/>
    <xf borderId="0" fillId="3" fontId="26" numFmtId="0" xfId="0" applyAlignment="1" applyFont="1">
      <alignment vertical="top"/>
    </xf>
    <xf borderId="0" fillId="0" fontId="26" numFmtId="0" xfId="0" applyFont="1"/>
    <xf borderId="0" fillId="0" fontId="26" numFmtId="0" xfId="0" applyFont="1"/>
    <xf borderId="10" fillId="0" fontId="26" numFmtId="0" xfId="0" applyBorder="1" applyFont="1"/>
    <xf borderId="10" fillId="0" fontId="26" numFmtId="0" xfId="0" applyAlignment="1" applyBorder="1" applyFont="1">
      <alignment vertical="top"/>
    </xf>
    <xf borderId="35" fillId="0" fontId="46" numFmtId="0" xfId="0" applyAlignment="1" applyBorder="1" applyFont="1">
      <alignment vertical="bottom"/>
    </xf>
    <xf borderId="24" fillId="0" fontId="46" numFmtId="0" xfId="0" applyAlignment="1" applyBorder="1" applyFont="1">
      <alignment vertical="bottom"/>
    </xf>
    <xf borderId="24" fillId="0" fontId="46" numFmtId="0" xfId="0" applyAlignment="1" applyBorder="1" applyFont="1">
      <alignment shrinkToFit="0" vertical="bottom" wrapText="1"/>
    </xf>
    <xf borderId="24" fillId="0" fontId="46" numFmtId="0" xfId="0" applyAlignment="1" applyBorder="1" applyFont="1">
      <alignment vertical="top"/>
    </xf>
    <xf borderId="36" fillId="0" fontId="26" numFmtId="0" xfId="0" applyAlignment="1" applyBorder="1" applyFont="1">
      <alignment vertical="bottom"/>
    </xf>
    <xf borderId="27" fillId="16" fontId="26" numFmtId="0" xfId="0" applyAlignment="1" applyBorder="1" applyFill="1" applyFont="1">
      <alignment shrinkToFit="0" vertical="top" wrapText="1"/>
    </xf>
    <xf borderId="25" fillId="0" fontId="47" numFmtId="0" xfId="0" applyAlignment="1" applyBorder="1" applyFont="1">
      <alignment horizontal="center" vertical="center"/>
    </xf>
    <xf borderId="29" fillId="16" fontId="26" numFmtId="0" xfId="0" applyAlignment="1" applyBorder="1" applyFont="1">
      <alignment shrinkToFit="0" vertical="top" wrapText="1"/>
    </xf>
    <xf borderId="25" fillId="0" fontId="48" numFmtId="0" xfId="0" applyAlignment="1" applyBorder="1" applyFont="1">
      <alignment horizontal="center" vertical="center"/>
    </xf>
    <xf borderId="25" fillId="0" fontId="26" numFmtId="0" xfId="0" applyAlignment="1" applyBorder="1" applyFont="1">
      <alignment horizontal="center" vertical="center"/>
    </xf>
    <xf borderId="0" fillId="0" fontId="26" numFmtId="0" xfId="0" applyAlignment="1" applyFont="1">
      <alignment vertical="top"/>
    </xf>
    <xf borderId="32" fillId="16" fontId="26" numFmtId="0" xfId="0" applyAlignment="1" applyBorder="1" applyFont="1">
      <alignment shrinkToFit="0" vertical="top" wrapText="1"/>
    </xf>
    <xf borderId="25" fillId="16" fontId="26" numFmtId="0" xfId="0" applyAlignment="1" applyBorder="1" applyFont="1">
      <alignment shrinkToFit="0" vertical="top" wrapText="1"/>
    </xf>
    <xf borderId="0" fillId="10" fontId="49" numFmtId="0" xfId="0" applyAlignment="1" applyFont="1">
      <alignment readingOrder="0" shrinkToFit="0" vertical="bottom" wrapText="1"/>
    </xf>
    <xf borderId="25" fillId="8" fontId="26" numFmtId="0" xfId="0" applyAlignment="1" applyBorder="1" applyFont="1">
      <alignment shrinkToFit="0" vertical="top" wrapText="1"/>
    </xf>
    <xf borderId="0" fillId="10" fontId="46" numFmtId="0" xfId="0" applyAlignment="1" applyFont="1">
      <alignment readingOrder="0" shrinkToFit="0" vertical="bottom" wrapText="1"/>
    </xf>
    <xf borderId="29" fillId="12" fontId="26" numFmtId="0" xfId="0" applyAlignment="1" applyBorder="1" applyFont="1">
      <alignment horizontal="left" readingOrder="0" shrinkToFit="0" vertical="top" wrapText="1"/>
    </xf>
    <xf borderId="10" fillId="0" fontId="26" numFmtId="0" xfId="0" applyAlignment="1" applyBorder="1" applyFont="1">
      <alignment vertical="top"/>
    </xf>
    <xf borderId="10" fillId="0" fontId="26" numFmtId="0" xfId="0" applyBorder="1" applyFont="1"/>
    <xf borderId="0" fillId="0" fontId="50" numFmtId="0" xfId="0" applyAlignment="1" applyFont="1">
      <alignment vertical="bottom"/>
    </xf>
    <xf borderId="0" fillId="0" fontId="51" numFmtId="0" xfId="0" applyAlignment="1" applyFont="1">
      <alignment horizontal="center" vertical="bottom"/>
    </xf>
    <xf borderId="0" fillId="3" fontId="3" numFmtId="0" xfId="0" applyAlignment="1" applyFont="1">
      <alignment vertical="top"/>
    </xf>
    <xf borderId="0" fillId="0" fontId="7" numFmtId="0" xfId="0" applyAlignment="1" applyFont="1">
      <alignment readingOrder="0" vertical="center"/>
    </xf>
    <xf borderId="0" fillId="0" fontId="8" numFmtId="0" xfId="0" applyAlignment="1" applyFont="1">
      <alignment readingOrder="0"/>
    </xf>
    <xf borderId="5" fillId="0" fontId="3" numFmtId="0" xfId="0" applyAlignment="1" applyBorder="1" applyFont="1">
      <alignment vertical="center"/>
    </xf>
    <xf borderId="5" fillId="0" fontId="3" numFmtId="0" xfId="0" applyAlignment="1" applyBorder="1" applyFont="1">
      <alignment shrinkToFit="0" wrapText="1"/>
    </xf>
    <xf borderId="0" fillId="0" fontId="8" numFmtId="0" xfId="0" applyFont="1"/>
    <xf borderId="7" fillId="0" fontId="8" numFmtId="0" xfId="0" applyBorder="1" applyFont="1"/>
    <xf borderId="0" fillId="0" fontId="34" numFmtId="0" xfId="0" applyAlignment="1" applyFont="1">
      <alignment readingOrder="0"/>
    </xf>
    <xf borderId="0" fillId="0" fontId="8" numFmtId="0" xfId="0" applyAlignment="1" applyFont="1">
      <alignment vertical="center"/>
    </xf>
    <xf borderId="0" fillId="0" fontId="34" numFmtId="0" xfId="0" applyAlignment="1" applyFont="1">
      <alignment readingOrder="0" shrinkToFit="0" wrapText="1"/>
    </xf>
    <xf borderId="0" fillId="0" fontId="34" numFmtId="0" xfId="0" applyAlignment="1" applyFont="1">
      <alignment readingOrder="0" vertical="top"/>
    </xf>
    <xf borderId="8" fillId="0" fontId="8" numFmtId="0" xfId="0" applyBorder="1" applyFont="1"/>
    <xf borderId="27" fillId="16" fontId="3" numFmtId="0" xfId="0" applyAlignment="1" applyBorder="1" applyFont="1">
      <alignment readingOrder="0" shrinkToFit="0" vertical="top" wrapText="1"/>
    </xf>
    <xf borderId="0" fillId="0" fontId="52" numFmtId="0" xfId="0" applyAlignment="1" applyFont="1">
      <alignment horizontal="center" readingOrder="0" vertical="center"/>
    </xf>
    <xf borderId="18" fillId="16" fontId="3" numFmtId="0" xfId="0" applyAlignment="1" applyBorder="1" applyFont="1">
      <alignment readingOrder="0" shrinkToFit="0" vertical="top" wrapText="1"/>
    </xf>
    <xf borderId="0" fillId="0" fontId="53" numFmtId="0" xfId="0" applyAlignment="1" applyFont="1">
      <alignment horizontal="center" readingOrder="0" vertical="center"/>
    </xf>
    <xf borderId="0" fillId="0" fontId="8" numFmtId="0" xfId="0" applyAlignment="1" applyFont="1">
      <alignment readingOrder="0" shrinkToFit="0" vertical="top" wrapText="1"/>
    </xf>
    <xf borderId="0" fillId="0" fontId="3" numFmtId="0" xfId="0" applyAlignment="1" applyFont="1">
      <alignment readingOrder="0" shrinkToFit="0" vertical="top" wrapText="1"/>
    </xf>
    <xf borderId="7" fillId="15" fontId="8" numFmtId="0" xfId="0" applyAlignment="1" applyBorder="1" applyFont="1">
      <alignment readingOrder="0" shrinkToFit="0" wrapText="1"/>
    </xf>
    <xf borderId="5" fillId="0" fontId="3" numFmtId="0" xfId="0" applyAlignment="1" applyBorder="1" applyFont="1">
      <alignment vertical="top"/>
    </xf>
    <xf borderId="7" fillId="10" fontId="34" numFmtId="0" xfId="0" applyAlignment="1" applyBorder="1" applyFont="1">
      <alignment readingOrder="0" shrinkToFit="0" wrapText="1"/>
    </xf>
    <xf borderId="0" fillId="3" fontId="3" numFmtId="0" xfId="0" applyAlignment="1" applyFont="1">
      <alignment vertical="center"/>
    </xf>
    <xf borderId="5" fillId="0" fontId="3" numFmtId="0" xfId="0" applyAlignment="1" applyBorder="1" applyFont="1">
      <alignment shrinkToFit="0" vertical="top" wrapText="1"/>
    </xf>
    <xf borderId="9" fillId="10" fontId="8" numFmtId="0" xfId="0" applyAlignment="1" applyBorder="1" applyFont="1">
      <alignment readingOrder="0" shrinkToFit="0" wrapText="1"/>
    </xf>
    <xf borderId="0" fillId="0" fontId="8" numFmtId="0" xfId="0" applyAlignment="1" applyFont="1">
      <alignment readingOrder="0" shrinkToFit="0" vertical="center" wrapText="1"/>
    </xf>
    <xf borderId="32" fillId="16" fontId="3" numFmtId="0" xfId="0" applyAlignment="1" applyBorder="1" applyFont="1">
      <alignment readingOrder="0" shrinkToFit="0" vertical="top" wrapText="1"/>
    </xf>
    <xf borderId="7" fillId="10" fontId="34" numFmtId="0" xfId="0" applyAlignment="1" applyBorder="1" applyFont="1">
      <alignment readingOrder="0" shrinkToFit="0" vertical="center" wrapText="1"/>
    </xf>
    <xf borderId="0" fillId="0" fontId="15" numFmtId="0" xfId="0" applyAlignment="1" applyFont="1">
      <alignment horizontal="right" readingOrder="0" vertical="center"/>
    </xf>
    <xf borderId="0" fillId="0" fontId="34" numFmtId="0" xfId="0" applyAlignment="1" applyFont="1">
      <alignment readingOrder="0" shrinkToFit="0" vertical="top" wrapText="1"/>
    </xf>
    <xf borderId="10" fillId="0" fontId="8" numFmtId="0" xfId="0" applyAlignment="1" applyBorder="1" applyFont="1">
      <alignment readingOrder="0" shrinkToFit="0" vertical="top" wrapText="1"/>
    </xf>
    <xf borderId="10" fillId="0" fontId="3" numFmtId="0" xfId="0" applyAlignment="1" applyBorder="1" applyFont="1">
      <alignment horizontal="center" readingOrder="0" vertical="center"/>
    </xf>
    <xf borderId="10" fillId="0" fontId="3" numFmtId="0" xfId="0" applyAlignment="1" applyBorder="1" applyFont="1">
      <alignment readingOrder="0" shrinkToFit="0" vertical="top" wrapText="1"/>
    </xf>
    <xf borderId="10" fillId="0" fontId="3" numFmtId="0" xfId="0" applyAlignment="1" applyBorder="1" applyFont="1">
      <alignment vertical="center"/>
    </xf>
    <xf borderId="37" fillId="16" fontId="3" numFmtId="0" xfId="0" applyAlignment="1" applyBorder="1" applyFont="1">
      <alignment readingOrder="0" shrinkToFit="0" vertical="top" wrapText="1"/>
    </xf>
    <xf borderId="38" fillId="0" fontId="6" numFmtId="0" xfId="0" applyBorder="1" applyFont="1"/>
    <xf borderId="39" fillId="0" fontId="6" numFmtId="0" xfId="0" applyBorder="1" applyFont="1"/>
    <xf borderId="0" fillId="13" fontId="3" numFmtId="0" xfId="0" applyAlignment="1" applyFont="1">
      <alignment readingOrder="0" shrinkToFit="0" vertical="top" wrapText="1"/>
    </xf>
    <xf borderId="40" fillId="0" fontId="6" numFmtId="0" xfId="0" applyBorder="1" applyFont="1"/>
    <xf borderId="36" fillId="0" fontId="6" numFmtId="0" xfId="0" applyBorder="1" applyFont="1"/>
    <xf borderId="41" fillId="0" fontId="6" numFmtId="0" xfId="0" applyBorder="1" applyFont="1"/>
    <xf borderId="35" fillId="0" fontId="6" numFmtId="0" xfId="0" applyBorder="1" applyFont="1"/>
    <xf borderId="42" fillId="0" fontId="6" numFmtId="0" xfId="0" applyBorder="1" applyFont="1"/>
    <xf borderId="19" fillId="16" fontId="3" numFmtId="0" xfId="0" applyAlignment="1" applyBorder="1" applyFont="1">
      <alignment readingOrder="0" shrinkToFit="0" vertical="top" wrapText="1"/>
    </xf>
    <xf borderId="0" fillId="13" fontId="26" numFmtId="0" xfId="0" applyAlignment="1" applyFont="1">
      <alignment horizontal="left" readingOrder="0" shrinkToFit="0" vertical="top" wrapText="1"/>
    </xf>
    <xf borderId="5" fillId="0" fontId="3" numFmtId="0" xfId="0" applyAlignment="1" applyBorder="1" applyFont="1">
      <alignment readingOrder="0" vertical="top"/>
    </xf>
    <xf borderId="0" fillId="0" fontId="8" numFmtId="0" xfId="0" applyAlignment="1" applyFont="1">
      <alignment horizontal="center" readingOrder="0" vertical="center"/>
    </xf>
    <xf borderId="7" fillId="15" fontId="8" numFmtId="0" xfId="0" applyAlignment="1" applyBorder="1" applyFont="1">
      <alignment readingOrder="0" shrinkToFit="0" vertical="top" wrapText="1"/>
    </xf>
    <xf quotePrefix="1" borderId="7" fillId="15" fontId="8" numFmtId="0" xfId="0" applyAlignment="1" applyBorder="1" applyFont="1">
      <alignment readingOrder="0" shrinkToFit="0" vertical="top" wrapText="1"/>
    </xf>
    <xf borderId="0" fillId="15" fontId="8" numFmtId="0" xfId="0" applyAlignment="1" applyFont="1">
      <alignment readingOrder="0" shrinkToFit="0" vertical="top" wrapText="1"/>
    </xf>
    <xf borderId="8" fillId="15" fontId="8" numFmtId="0" xfId="0" applyAlignment="1" applyBorder="1" applyFont="1">
      <alignment readingOrder="0" shrinkToFit="0" wrapText="1"/>
    </xf>
    <xf borderId="7" fillId="15" fontId="8" numFmtId="0" xfId="0" applyAlignment="1" applyBorder="1" applyFont="1">
      <alignment readingOrder="0" shrinkToFit="0" vertical="bottom" wrapText="1"/>
    </xf>
    <xf borderId="18" fillId="13" fontId="3" numFmtId="0" xfId="0" applyAlignment="1" applyBorder="1" applyFont="1">
      <alignment shrinkToFit="0" vertical="top" wrapText="1"/>
    </xf>
    <xf borderId="18" fillId="14" fontId="3" numFmtId="0" xfId="0" applyAlignment="1" applyBorder="1" applyFont="1">
      <alignment readingOrder="0" vertical="top"/>
    </xf>
    <xf borderId="43" fillId="8" fontId="26" numFmtId="0" xfId="0" applyAlignment="1" applyBorder="1" applyFont="1">
      <alignment shrinkToFit="0" vertical="top" wrapText="1"/>
    </xf>
    <xf borderId="25" fillId="0" fontId="26" numFmtId="0" xfId="0" applyAlignment="1" applyBorder="1" applyFont="1">
      <alignment horizontal="center" shrinkToFit="0" vertical="center" wrapText="1"/>
    </xf>
    <xf borderId="0" fillId="10" fontId="8" numFmtId="0" xfId="0" applyAlignment="1" applyFont="1">
      <alignment readingOrder="0" shrinkToFit="0" vertical="top" wrapText="1"/>
    </xf>
    <xf borderId="0" fillId="10" fontId="8" numFmtId="0" xfId="0" applyAlignment="1" applyFont="1">
      <alignment readingOrder="0" shrinkToFit="0" wrapText="1"/>
    </xf>
    <xf borderId="8" fillId="10" fontId="8" numFmtId="0" xfId="0" applyAlignment="1" applyBorder="1" applyFont="1">
      <alignment readingOrder="0" shrinkToFit="0" wrapText="1"/>
    </xf>
    <xf borderId="7" fillId="10" fontId="27" numFmtId="0" xfId="0" applyAlignment="1" applyBorder="1" applyFont="1">
      <alignment shrinkToFit="0" vertical="bottom" wrapText="1"/>
    </xf>
    <xf borderId="19" fillId="13" fontId="3" numFmtId="0" xfId="0" applyAlignment="1" applyBorder="1" applyFont="1">
      <alignment horizontal="left" readingOrder="0" shrinkToFit="0" vertical="top" wrapText="1"/>
    </xf>
    <xf borderId="0" fillId="12" fontId="54" numFmtId="0" xfId="0" applyAlignment="1" applyFont="1">
      <alignment horizontal="center" readingOrder="0" shrinkToFit="0" vertical="center" wrapText="1"/>
    </xf>
    <xf borderId="0" fillId="12" fontId="55" numFmtId="0" xfId="0" applyAlignment="1" applyFont="1">
      <alignment horizontal="center" shrinkToFit="0" vertical="center" wrapText="1"/>
    </xf>
    <xf borderId="7" fillId="10" fontId="46" numFmtId="0" xfId="0" applyAlignment="1" applyBorder="1" applyFont="1">
      <alignment shrinkToFit="0" vertical="bottom" wrapText="1"/>
    </xf>
    <xf borderId="0" fillId="15" fontId="27" numFmtId="0" xfId="0" applyAlignment="1" applyFont="1">
      <alignment shrinkToFit="0" vertical="top" wrapText="1"/>
    </xf>
    <xf borderId="7" fillId="0" fontId="8" numFmtId="0" xfId="0" applyAlignment="1" applyBorder="1" applyFont="1">
      <alignment readingOrder="0" shrinkToFit="0" vertical="top" wrapText="1"/>
    </xf>
    <xf borderId="8" fillId="0" fontId="8" numFmtId="0" xfId="0" applyAlignment="1" applyBorder="1" applyFont="1">
      <alignment readingOrder="0" shrinkToFit="0" vertical="top" wrapText="1"/>
    </xf>
    <xf borderId="0" fillId="0" fontId="34" numFmtId="0" xfId="0" applyAlignment="1" applyFont="1">
      <alignment readingOrder="0" shrinkToFit="0" wrapText="0"/>
    </xf>
    <xf borderId="0" fillId="0" fontId="8" numFmtId="0" xfId="0" applyAlignment="1" applyFont="1">
      <alignment readingOrder="0" shrinkToFit="0" vertical="top" wrapText="0"/>
    </xf>
    <xf borderId="0" fillId="0" fontId="56" numFmtId="0" xfId="0" applyAlignment="1" applyFont="1">
      <alignment readingOrder="0" shrinkToFit="0" vertical="top" wrapText="0"/>
    </xf>
    <xf borderId="0" fillId="0" fontId="57" numFmtId="0" xfId="0" applyAlignment="1" applyFont="1">
      <alignment readingOrder="0" shrinkToFit="0" vertical="top" wrapText="0"/>
    </xf>
    <xf borderId="0" fillId="0" fontId="58" numFmtId="0" xfId="0" applyAlignment="1" applyFont="1">
      <alignment readingOrder="0" shrinkToFit="0" vertical="top" wrapText="0"/>
    </xf>
    <xf borderId="44" fillId="13" fontId="3" numFmtId="0" xfId="0" applyAlignment="1" applyBorder="1" applyFont="1">
      <alignment readingOrder="0" shrinkToFit="0" vertical="top" wrapText="1"/>
    </xf>
    <xf borderId="45" fillId="0" fontId="6" numFmtId="0" xfId="0" applyBorder="1" applyFont="1"/>
    <xf borderId="43" fillId="0" fontId="6" numFmtId="0" xfId="0" applyBorder="1" applyFont="1"/>
    <xf borderId="46" fillId="0" fontId="6" numFmtId="0" xfId="0" applyBorder="1" applyFont="1"/>
    <xf borderId="24" fillId="0" fontId="6" numFmtId="0" xfId="0" applyBorder="1" applyFont="1"/>
    <xf borderId="9" fillId="15" fontId="27" numFmtId="0" xfId="0" applyAlignment="1" applyBorder="1" applyFont="1">
      <alignment readingOrder="0" shrinkToFit="0" vertical="top" wrapText="1"/>
    </xf>
    <xf borderId="0" fillId="0" fontId="59" numFmtId="0" xfId="0" applyAlignment="1" applyFont="1">
      <alignment horizontal="right" readingOrder="0"/>
    </xf>
    <xf borderId="0" fillId="0" fontId="15" numFmtId="0" xfId="0" applyAlignment="1" applyFont="1">
      <alignment horizontal="center" readingOrder="0"/>
    </xf>
    <xf borderId="47" fillId="12" fontId="3" numFmtId="0" xfId="0" applyAlignment="1" applyBorder="1" applyFont="1">
      <alignment readingOrder="0" shrinkToFit="0" vertical="top" wrapText="1"/>
    </xf>
    <xf borderId="48" fillId="0" fontId="6" numFmtId="0" xfId="0" applyBorder="1" applyFont="1"/>
    <xf borderId="19" fillId="8" fontId="26" numFmtId="0" xfId="0" applyAlignment="1" applyBorder="1" applyFont="1">
      <alignment shrinkToFit="0" vertical="top" wrapText="1"/>
    </xf>
    <xf borderId="49" fillId="0" fontId="6" numFmtId="0" xfId="0" applyBorder="1" applyFont="1"/>
    <xf borderId="0" fillId="0" fontId="60" numFmtId="0" xfId="0" applyAlignment="1" applyFont="1">
      <alignment readingOrder="0" shrinkToFit="0" vertical="top" wrapText="0"/>
    </xf>
    <xf borderId="0" fillId="3" fontId="3" numFmtId="0" xfId="0" applyAlignment="1" applyFont="1">
      <alignment readingOrder="0"/>
    </xf>
    <xf borderId="7" fillId="10" fontId="45" numFmtId="0" xfId="0" applyAlignment="1" applyBorder="1" applyFont="1">
      <alignment readingOrder="0" shrinkToFit="0" wrapText="1"/>
    </xf>
    <xf borderId="7" fillId="0" fontId="45" numFmtId="0" xfId="0" applyAlignment="1" applyBorder="1" applyFont="1">
      <alignment horizontal="center" readingOrder="0" shrinkToFit="0" wrapText="1"/>
    </xf>
    <xf borderId="0" fillId="0" fontId="45" numFmtId="0" xfId="0" applyAlignment="1" applyFont="1">
      <alignment readingOrder="0" shrinkToFit="0" wrapText="1"/>
    </xf>
    <xf borderId="8" fillId="0" fontId="45" numFmtId="0" xfId="0" applyAlignment="1" applyBorder="1" applyFont="1">
      <alignment readingOrder="0" shrinkToFit="0" wrapText="1"/>
    </xf>
    <xf borderId="7" fillId="10" fontId="61" numFmtId="0" xfId="0" applyAlignment="1" applyBorder="1" applyFont="1">
      <alignment horizontal="left" readingOrder="0"/>
    </xf>
    <xf borderId="7" fillId="10" fontId="45" numFmtId="0" xfId="0" applyAlignment="1" applyBorder="1" applyFont="1">
      <alignment horizontal="center" readingOrder="0" shrinkToFit="0" wrapText="1"/>
    </xf>
    <xf borderId="0" fillId="10" fontId="45" numFmtId="0" xfId="0" applyAlignment="1" applyFont="1">
      <alignment readingOrder="0" shrinkToFit="0" wrapText="1"/>
    </xf>
    <xf borderId="9" fillId="10" fontId="62" numFmtId="0" xfId="0" applyAlignment="1" applyBorder="1" applyFont="1">
      <alignment horizontal="left" readingOrder="0" shrinkToFit="0" wrapText="1"/>
    </xf>
    <xf borderId="7" fillId="10" fontId="63" numFmtId="0" xfId="0" applyAlignment="1" applyBorder="1" applyFont="1">
      <alignment readingOrder="0" shrinkToFit="0" wrapText="1"/>
    </xf>
    <xf borderId="0" fillId="3" fontId="35" numFmtId="0" xfId="0" applyAlignment="1" applyFont="1">
      <alignment vertical="bottom"/>
    </xf>
    <xf borderId="0" fillId="0" fontId="36" numFmtId="0" xfId="0" applyAlignment="1" applyFont="1">
      <alignment shrinkToFit="0" vertical="bottom" wrapText="0"/>
    </xf>
    <xf borderId="0" fillId="0" fontId="46" numFmtId="0" xfId="0" applyAlignment="1" applyFont="1">
      <alignment vertical="bottom"/>
    </xf>
    <xf borderId="0" fillId="0" fontId="46" numFmtId="0" xfId="0" applyAlignment="1" applyFont="1">
      <alignment vertical="top"/>
    </xf>
    <xf borderId="0" fillId="0" fontId="46" numFmtId="0" xfId="0" applyAlignment="1" applyFont="1">
      <alignment shrinkToFit="0" vertical="bottom" wrapText="1"/>
    </xf>
    <xf borderId="24" fillId="0" fontId="26" numFmtId="0" xfId="0" applyAlignment="1" applyBorder="1" applyFont="1">
      <alignment vertical="top"/>
    </xf>
    <xf quotePrefix="1" borderId="0" fillId="0" fontId="27" numFmtId="0" xfId="0" applyAlignment="1" applyFont="1">
      <alignment horizontal="center" shrinkToFit="0" vertical="top" wrapText="1"/>
    </xf>
    <xf borderId="0" fillId="0" fontId="46" numFmtId="0" xfId="0" applyAlignment="1" applyFont="1">
      <alignment shrinkToFit="0" vertical="top" wrapText="1"/>
    </xf>
    <xf borderId="24" fillId="8" fontId="26" numFmtId="0" xfId="0" applyAlignment="1" applyBorder="1" applyFont="1">
      <alignment shrinkToFit="0" vertical="top" wrapText="1"/>
    </xf>
    <xf borderId="29" fillId="0" fontId="26" numFmtId="0" xfId="0" applyAlignment="1" applyBorder="1" applyFont="1">
      <alignment shrinkToFit="0" vertical="top" wrapText="1"/>
    </xf>
    <xf borderId="24" fillId="0" fontId="26" numFmtId="0" xfId="0" applyAlignment="1" applyBorder="1" applyFont="1">
      <alignment vertical="top"/>
    </xf>
    <xf borderId="24" fillId="0" fontId="26" numFmtId="0" xfId="0" applyAlignment="1" applyBorder="1" applyFont="1">
      <alignment vertical="bottom"/>
    </xf>
    <xf quotePrefix="1" borderId="0" fillId="0" fontId="27" numFmtId="0" xfId="0" applyAlignment="1" applyFont="1">
      <alignment horizontal="center" shrinkToFit="0" vertical="top" wrapText="1"/>
    </xf>
    <xf borderId="0" fillId="0" fontId="46" numFmtId="0" xfId="0" applyAlignment="1" applyFont="1">
      <alignment readingOrder="0" shrinkToFit="0" vertical="top" wrapText="1"/>
    </xf>
    <xf borderId="29" fillId="0" fontId="26" numFmtId="0" xfId="0" applyAlignment="1" applyBorder="1" applyFont="1">
      <alignment readingOrder="0" shrinkToFit="0" vertical="top" wrapText="1"/>
    </xf>
    <xf borderId="36" fillId="0" fontId="26" numFmtId="0" xfId="0" applyAlignment="1" applyBorder="1" applyFont="1">
      <alignment vertical="top"/>
    </xf>
    <xf borderId="0" fillId="17" fontId="26" numFmtId="0" xfId="0" applyAlignment="1" applyFill="1" applyFont="1">
      <alignment shrinkToFit="0" vertical="top" wrapText="1"/>
    </xf>
    <xf borderId="36" fillId="0" fontId="26" numFmtId="0" xfId="0" applyAlignment="1" applyBorder="1" applyFont="1">
      <alignment vertical="top"/>
    </xf>
    <xf borderId="10" fillId="10" fontId="46" numFmtId="0" xfId="0" applyAlignment="1" applyBorder="1" applyFont="1">
      <alignment readingOrder="0" shrinkToFit="0" vertical="bottom" wrapText="1"/>
    </xf>
    <xf borderId="24" fillId="8" fontId="26" numFmtId="0" xfId="0" applyAlignment="1" applyBorder="1" applyFont="1">
      <alignment vertical="top"/>
    </xf>
    <xf borderId="0" fillId="8" fontId="26" numFmtId="0" xfId="0" applyAlignment="1" applyFont="1">
      <alignment shrinkToFit="0" vertical="top" wrapText="1"/>
    </xf>
    <xf borderId="25" fillId="0" fontId="26" numFmtId="0" xfId="0" applyAlignment="1" applyBorder="1" applyFont="1">
      <alignment shrinkToFit="0" vertical="top" wrapText="1"/>
    </xf>
    <xf borderId="37" fillId="17" fontId="26" numFmtId="0" xfId="0" applyAlignment="1" applyBorder="1" applyFont="1">
      <alignment shrinkToFit="0" vertical="top" wrapText="1"/>
    </xf>
    <xf borderId="25" fillId="0" fontId="47" numFmtId="0" xfId="0" applyAlignment="1" applyBorder="1" applyFont="1">
      <alignment horizontal="center" vertical="center"/>
    </xf>
    <xf borderId="25" fillId="0" fontId="26" numFmtId="0" xfId="0" applyAlignment="1" applyBorder="1" applyFont="1">
      <alignment horizontal="center" vertical="center"/>
    </xf>
    <xf borderId="25" fillId="12" fontId="26" numFmtId="0" xfId="0" applyAlignment="1" applyBorder="1" applyFont="1">
      <alignment shrinkToFit="0" vertical="top" wrapText="1"/>
    </xf>
    <xf borderId="24" fillId="0" fontId="46" numFmtId="0" xfId="0" applyAlignment="1" applyBorder="1" applyFont="1">
      <alignment vertical="bottom"/>
    </xf>
    <xf borderId="10" fillId="0" fontId="26" numFmtId="0" xfId="0" applyAlignment="1" applyBorder="1" applyFont="1">
      <alignment vertical="bottom"/>
    </xf>
    <xf borderId="0" fillId="0" fontId="36" numFmtId="0" xfId="0" applyAlignment="1" applyFont="1">
      <alignment vertical="top"/>
    </xf>
    <xf borderId="0" fillId="0" fontId="64" numFmtId="0" xfId="0" applyAlignment="1" applyFont="1">
      <alignment horizontal="right" vertical="top"/>
    </xf>
    <xf borderId="7" fillId="10" fontId="27" numFmtId="0" xfId="0" applyAlignment="1" applyBorder="1" applyFont="1">
      <alignment readingOrder="0" shrinkToFit="0" vertical="bottom" wrapText="1"/>
    </xf>
    <xf borderId="0" fillId="0" fontId="26" numFmtId="0" xfId="0" applyAlignment="1" applyFont="1">
      <alignment readingOrder="0" vertical="top"/>
    </xf>
    <xf borderId="0" fillId="0" fontId="46" numFmtId="0" xfId="0" applyAlignment="1" applyFont="1">
      <alignment vertical="bottom"/>
    </xf>
    <xf borderId="0" fillId="0" fontId="46" numFmtId="0" xfId="0" applyAlignment="1" applyFont="1">
      <alignment vertical="top"/>
    </xf>
    <xf borderId="0" fillId="0" fontId="46" numFmtId="0" xfId="0" applyAlignment="1" applyFont="1">
      <alignment shrinkToFit="0" vertical="bottom" wrapText="1"/>
    </xf>
    <xf borderId="24" fillId="8" fontId="26" numFmtId="0" xfId="0" applyAlignment="1" applyBorder="1" applyFont="1">
      <alignment readingOrder="0" shrinkToFit="0" vertical="top" wrapText="1"/>
    </xf>
    <xf borderId="24" fillId="8" fontId="26" numFmtId="0" xfId="0" applyAlignment="1" applyBorder="1" applyFont="1">
      <alignment readingOrder="0" vertical="top"/>
    </xf>
    <xf borderId="37" fillId="17" fontId="26" numFmtId="0" xfId="0" applyAlignment="1" applyBorder="1" applyFont="1">
      <alignment shrinkToFit="0" vertical="top" wrapText="1"/>
    </xf>
    <xf borderId="25" fillId="0" fontId="47" numFmtId="0" xfId="0" applyAlignment="1" applyBorder="1" applyFont="1">
      <alignment horizontal="center"/>
    </xf>
    <xf borderId="25" fillId="16" fontId="26" numFmtId="0" xfId="0" applyAlignment="1" applyBorder="1" applyFont="1">
      <alignment shrinkToFit="0" vertical="top" wrapText="1"/>
    </xf>
    <xf borderId="25" fillId="0" fontId="48" numFmtId="0" xfId="0" applyAlignment="1" applyBorder="1" applyFont="1">
      <alignment horizontal="center" vertical="center"/>
    </xf>
    <xf borderId="25" fillId="12" fontId="26" numFmtId="0" xfId="0" applyAlignment="1" applyBorder="1" applyFont="1">
      <alignment shrinkToFit="0" vertical="top" wrapText="1"/>
    </xf>
    <xf borderId="0" fillId="0" fontId="3" numFmtId="0" xfId="0" applyAlignment="1" applyFont="1">
      <alignment horizontal="center" vertical="top"/>
    </xf>
    <xf borderId="0" fillId="8" fontId="26" numFmtId="0" xfId="0" applyAlignment="1" applyFont="1">
      <alignment readingOrder="0" shrinkToFit="0" vertical="top" wrapText="1"/>
    </xf>
    <xf borderId="24" fillId="0" fontId="46" numFmtId="0" xfId="0" applyAlignment="1" applyBorder="1" applyFont="1">
      <alignment shrinkToFit="0" vertical="bottom" wrapText="0"/>
    </xf>
    <xf borderId="7" fillId="0" fontId="10" numFmtId="0" xfId="0" applyAlignment="1" applyBorder="1" applyFont="1">
      <alignment horizontal="left" readingOrder="0" shrinkToFit="0" wrapText="1"/>
    </xf>
    <xf borderId="0" fillId="0" fontId="10" numFmtId="0" xfId="0" applyAlignment="1" applyFont="1">
      <alignment horizontal="left" readingOrder="0" shrinkToFit="0" wrapText="1"/>
    </xf>
    <xf borderId="8" fillId="0" fontId="10" numFmtId="0" xfId="0" applyAlignment="1" applyBorder="1" applyFont="1">
      <alignment horizontal="left" readingOrder="0" shrinkToFit="0" wrapText="1"/>
    </xf>
    <xf borderId="7" fillId="10" fontId="10" numFmtId="0" xfId="0" applyAlignment="1" applyBorder="1" applyFont="1">
      <alignment horizontal="left" readingOrder="0" shrinkToFit="0" vertical="center" wrapText="1"/>
    </xf>
    <xf borderId="7" fillId="10" fontId="65" numFmtId="0" xfId="0" applyAlignment="1" applyBorder="1" applyFont="1">
      <alignment horizontal="center" readingOrder="0" shrinkToFit="0" wrapText="1"/>
    </xf>
    <xf borderId="0" fillId="10" fontId="66" numFmtId="0" xfId="0" applyAlignment="1" applyFont="1">
      <alignment readingOrder="0" shrinkToFit="0" wrapText="1"/>
    </xf>
    <xf borderId="0" fillId="10" fontId="67" numFmtId="0" xfId="0" applyAlignment="1" applyFont="1">
      <alignment horizontal="left" readingOrder="0" shrinkToFit="0" wrapText="1"/>
    </xf>
    <xf borderId="0" fillId="10" fontId="68" numFmtId="0" xfId="0" applyAlignment="1" applyFont="1">
      <alignment horizontal="center" shrinkToFit="0" vertical="bottom" wrapText="1"/>
    </xf>
    <xf borderId="0" fillId="10" fontId="69" numFmtId="0" xfId="0" applyAlignment="1" applyFont="1">
      <alignment readingOrder="0" shrinkToFit="0" vertical="bottom" wrapText="1"/>
    </xf>
    <xf borderId="0" fillId="0" fontId="3" numFmtId="0" xfId="0" applyAlignment="1" applyFont="1">
      <alignment horizontal="center" readingOrder="0" vertical="top"/>
    </xf>
    <xf borderId="44" fillId="12" fontId="26" numFmtId="0" xfId="0" applyAlignment="1" applyBorder="1" applyFont="1">
      <alignment shrinkToFit="0" vertical="top" wrapText="1"/>
    </xf>
    <xf borderId="50" fillId="0" fontId="6" numFmtId="0" xfId="0" applyBorder="1" applyFont="1"/>
    <xf borderId="9" fillId="10" fontId="70" numFmtId="0" xfId="0" applyAlignment="1" applyBorder="1" applyFont="1">
      <alignment readingOrder="0" shrinkToFit="0" wrapText="1"/>
    </xf>
    <xf borderId="44" fillId="13" fontId="26" numFmtId="0" xfId="0" applyAlignment="1" applyBorder="1" applyFont="1">
      <alignment readingOrder="0" shrinkToFit="0" vertical="top" wrapText="1"/>
    </xf>
    <xf borderId="0" fillId="0" fontId="34" numFmtId="0" xfId="0" applyAlignment="1" applyFont="1">
      <alignment readingOrder="0" vertical="bottom"/>
    </xf>
    <xf borderId="39" fillId="16" fontId="26" numFmtId="0" xfId="0" applyAlignment="1" applyBorder="1" applyFont="1">
      <alignment shrinkToFit="0" vertical="top" wrapText="1"/>
    </xf>
    <xf borderId="43" fillId="17" fontId="26" numFmtId="0" xfId="0" applyAlignment="1" applyBorder="1" applyFont="1">
      <alignment readingOrder="0" shrinkToFit="0" vertical="top" wrapText="1"/>
    </xf>
    <xf borderId="43" fillId="8" fontId="26" numFmtId="0" xfId="0" applyAlignment="1" applyBorder="1" applyFont="1">
      <alignment readingOrder="0" shrinkToFit="0" vertical="top" wrapText="1"/>
    </xf>
    <xf borderId="43" fillId="12" fontId="26" numFmtId="0" xfId="0" applyAlignment="1" applyBorder="1" applyFont="1">
      <alignment shrinkToFit="0" vertical="top" wrapText="1"/>
    </xf>
    <xf borderId="0" fillId="0" fontId="8" numFmtId="0" xfId="0" applyAlignment="1" applyFont="1">
      <alignment shrinkToFit="0" wrapText="1"/>
    </xf>
    <xf borderId="7" fillId="0" fontId="8" numFmtId="0" xfId="0" applyAlignment="1" applyBorder="1" applyFont="1">
      <alignment shrinkToFit="0" wrapText="1"/>
    </xf>
    <xf borderId="0" fillId="0" fontId="8" numFmtId="0" xfId="0" applyAlignment="1" applyFont="1">
      <alignment shrinkToFit="0" vertical="center" wrapText="1"/>
    </xf>
    <xf borderId="0" fillId="0" fontId="34" numFmtId="0" xfId="0" applyAlignment="1" applyFont="1">
      <alignment readingOrder="0" shrinkToFit="0" vertical="bottom" wrapText="1"/>
    </xf>
    <xf borderId="8" fillId="0" fontId="8" numFmtId="0" xfId="0" applyAlignment="1" applyBorder="1" applyFont="1">
      <alignment shrinkToFit="0" wrapText="1"/>
    </xf>
    <xf borderId="43" fillId="17" fontId="26" numFmtId="0" xfId="0" applyAlignment="1" applyBorder="1" applyFont="1">
      <alignment shrinkToFit="0" vertical="top" wrapText="1"/>
    </xf>
    <xf borderId="43" fillId="12" fontId="26" numFmtId="0" xfId="0" applyAlignment="1" applyBorder="1" applyFont="1">
      <alignment readingOrder="0" shrinkToFit="0" vertical="top" wrapText="1"/>
    </xf>
    <xf borderId="24" fillId="0" fontId="26" numFmtId="0" xfId="0" applyBorder="1" applyFont="1"/>
    <xf borderId="0" fillId="12" fontId="26" numFmtId="0" xfId="0" applyAlignment="1" applyFont="1">
      <alignment readingOrder="0" shrinkToFit="0" vertical="top" wrapText="1"/>
    </xf>
    <xf borderId="36" fillId="16" fontId="26" numFmtId="0" xfId="0" applyAlignment="1" applyBorder="1" applyFont="1">
      <alignment shrinkToFit="0" vertical="top" wrapText="1"/>
    </xf>
    <xf borderId="25" fillId="17" fontId="26" numFmtId="0" xfId="0" applyAlignment="1" applyBorder="1" applyFont="1">
      <alignment readingOrder="0" shrinkToFit="0" vertical="top" wrapText="1"/>
    </xf>
    <xf borderId="25" fillId="8" fontId="26" numFmtId="0" xfId="0" applyAlignment="1" applyBorder="1" applyFont="1">
      <alignment readingOrder="0" shrinkToFit="0" vertical="top" wrapText="1"/>
    </xf>
    <xf borderId="51" fillId="0" fontId="46" numFmtId="0" xfId="0" applyAlignment="1" applyBorder="1" applyFont="1">
      <alignment shrinkToFit="0" vertical="bottom" wrapText="1"/>
    </xf>
    <xf borderId="52" fillId="0" fontId="47" numFmtId="0" xfId="0" applyAlignment="1" applyBorder="1" applyFont="1">
      <alignment horizontal="center" vertical="center"/>
    </xf>
    <xf borderId="53" fillId="16" fontId="26" numFmtId="0" xfId="0" applyAlignment="1" applyBorder="1" applyFont="1">
      <alignment shrinkToFit="0" vertical="top" wrapText="1"/>
    </xf>
    <xf borderId="0" fillId="0" fontId="48" numFmtId="0" xfId="0" applyAlignment="1" applyFont="1">
      <alignment horizontal="center"/>
    </xf>
    <xf borderId="10" fillId="0" fontId="15" numFmtId="0" xfId="0" applyAlignment="1" applyBorder="1" applyFont="1">
      <alignment horizontal="right" readingOrder="0" vertical="center"/>
    </xf>
    <xf borderId="10" fillId="0" fontId="15" numFmtId="0" xfId="0" applyAlignment="1" applyBorder="1" applyFont="1">
      <alignment horizontal="right" readingOrder="0"/>
    </xf>
    <xf borderId="11" fillId="0" fontId="15" numFmtId="0" xfId="0" applyAlignment="1" applyBorder="1" applyFont="1">
      <alignment horizontal="right" readingOrder="0"/>
    </xf>
    <xf borderId="44" fillId="13" fontId="26" numFmtId="0" xfId="0" applyAlignment="1" applyBorder="1" applyFont="1">
      <alignment shrinkToFit="0" vertical="top" wrapText="1"/>
    </xf>
    <xf borderId="25" fillId="0" fontId="47" numFmtId="0" xfId="0" applyAlignment="1" applyBorder="1" applyFont="1">
      <alignment horizontal="center"/>
    </xf>
    <xf borderId="25" fillId="17" fontId="26" numFmtId="0" xfId="0" applyAlignment="1" applyBorder="1" applyFont="1">
      <alignment shrinkToFit="0" vertical="top" wrapText="1"/>
    </xf>
    <xf borderId="25" fillId="0" fontId="48" numFmtId="0" xfId="0" applyAlignment="1" applyBorder="1" applyFont="1">
      <alignment horizontal="center"/>
    </xf>
    <xf borderId="35" fillId="0" fontId="46" numFmtId="0" xfId="0" applyAlignment="1" applyBorder="1" applyFont="1">
      <alignment shrinkToFit="0" vertical="bottom" wrapText="1"/>
    </xf>
    <xf borderId="0" fillId="12" fontId="26" numFmtId="0" xfId="0" applyAlignment="1" applyFont="1">
      <alignment shrinkToFit="0" vertical="top" wrapText="1"/>
    </xf>
    <xf borderId="52" fillId="0" fontId="47" numFmtId="0" xfId="0" applyAlignment="1" applyBorder="1" applyFont="1">
      <alignment horizontal="center"/>
    </xf>
    <xf borderId="9" fillId="10" fontId="71" numFmtId="0" xfId="0" applyAlignment="1" applyBorder="1" applyFont="1">
      <alignment shrinkToFit="0" vertical="bottom" wrapText="1"/>
    </xf>
    <xf borderId="0" fillId="0" fontId="72" numFmtId="0" xfId="0" applyAlignment="1" applyFont="1">
      <alignment readingOrder="0"/>
    </xf>
    <xf borderId="0" fillId="0" fontId="73" numFmtId="0" xfId="0" applyAlignment="1" applyFont="1">
      <alignment horizontal="center" readingOrder="0"/>
    </xf>
    <xf borderId="9" fillId="10" fontId="74" numFmtId="0" xfId="0" applyAlignment="1" applyBorder="1" applyFont="1">
      <alignment readingOrder="0" shrinkToFit="0" wrapText="1"/>
    </xf>
    <xf borderId="0" fillId="0" fontId="75" numFmtId="0" xfId="0" applyAlignment="1" applyFont="1">
      <alignment horizontal="righ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6.png"/><Relationship Id="rId5"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476250</xdr:colOff>
      <xdr:row>13</xdr:row>
      <xdr:rowOff>133350</xdr:rowOff>
    </xdr:from>
    <xdr:ext cx="428625" cy="304800"/>
    <xdr:sp>
      <xdr:nvSpPr>
        <xdr:cNvPr id="3" name="Shape 3"/>
        <xdr:cNvSpPr/>
      </xdr:nvSpPr>
      <xdr:spPr>
        <a:xfrm>
          <a:off x="3671975" y="2398225"/>
          <a:ext cx="776100" cy="537300"/>
        </a:xfrm>
        <a:prstGeom prst="leftArrow">
          <a:avLst>
            <a:gd fmla="val 50000" name="adj1"/>
            <a:gd fmla="val 50000" name="adj2"/>
          </a:avLst>
        </a:prstGeom>
        <a:solidFill>
          <a:srgbClr val="B86046"/>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200025</xdr:colOff>
      <xdr:row>15</xdr:row>
      <xdr:rowOff>38100</xdr:rowOff>
    </xdr:from>
    <xdr:ext cx="3886200" cy="9620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114300</xdr:colOff>
      <xdr:row>13</xdr:row>
      <xdr:rowOff>57150</xdr:rowOff>
    </xdr:from>
    <xdr:ext cx="1981200" cy="9144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104775</xdr:colOff>
      <xdr:row>8</xdr:row>
      <xdr:rowOff>47625</xdr:rowOff>
    </xdr:from>
    <xdr:ext cx="4429125" cy="10477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123825</xdr:colOff>
      <xdr:row>19</xdr:row>
      <xdr:rowOff>95250</xdr:rowOff>
    </xdr:from>
    <xdr:ext cx="4667250" cy="22193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104775</xdr:rowOff>
    </xdr:from>
    <xdr:ext cx="381000" cy="276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sole.anthropic.com/" TargetMode="External"/><Relationship Id="rId2" Type="http://schemas.openxmlformats.org/officeDocument/2006/relationships/hyperlink" Target="https://workspace.google.com/marketplace/app/claude_for_sheets/909417792257" TargetMode="External"/><Relationship Id="rId3" Type="http://schemas.openxmlformats.org/officeDocument/2006/relationships/hyperlink" Target="https://docs.anthropic.com/claude/reference/getting-started-with-the-ap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jIxjzUWG-6xBVIa2ay6yDpLyeuOh_hR_ZB75a47KX_E/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anthropic.com/claude/docs/using-claude-for-sheets" TargetMode="External"/><Relationship Id="rId2" Type="http://schemas.openxmlformats.org/officeDocument/2006/relationships/hyperlink" Target="https://docs.anthropic.com/claude/docs/using-claude-for-sheets" TargetMode="External"/><Relationship Id="rId3" Type="http://schemas.openxmlformats.org/officeDocument/2006/relationships/hyperlink" Target="https://docs.anthropic.com/claude/docs/how-to-use-system-prompt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anthropic.com/claude/docs/use-xml-tag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anthropic.com/claude/docs/minimizing-hallucinations" TargetMode="External"/><Relationship Id="rId2" Type="http://schemas.openxmlformats.org/officeDocument/2006/relationships/hyperlink" Target="https://docs.anthropic.com/claude/reference/messages_post"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anthropic.com/cookbook" TargetMode="External"/><Relationship Id="rId2" Type="http://schemas.openxmlformats.org/officeDocument/2006/relationships/hyperlink" Target="https://docs.anthropic.com/claude/docs/prompt-engineering" TargetMode="External"/><Relationship Id="rId3" Type="http://schemas.openxmlformats.org/officeDocument/2006/relationships/hyperlink" Target="https://anthropic.com/prompts" TargetMode="External"/><Relationship Id="rId4" Type="http://schemas.openxmlformats.org/officeDocument/2006/relationships/hyperlink" Target="https://docs.anthropic.com/claude/docs/helper-metaprompt-experimental" TargetMode="External"/><Relationship Id="rId5" Type="http://schemas.openxmlformats.org/officeDocument/2006/relationships/hyperlink" Target="https://anthropic.com/discord" TargetMode="External"/><Relationship Id="rId6" Type="http://schemas.openxmlformats.org/officeDocument/2006/relationships/hyperlink" Target="https://docs.anthropic.com/claude/reference/complete_post" TargetMode="External"/><Relationship Id="rId7" Type="http://schemas.openxmlformats.org/officeDocument/2006/relationships/hyperlink" Target="https://www.promptingguide.ai/papers" TargetMode="External"/><Relationship Id="rId8"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anthropic.com/claude/docs/chain-prompts"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anthropic.com/claude/docs/functions-external-tools"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github.com/anthropics/anthropic-cookbook/tree/main/third_party" TargetMode="External"/><Relationship Id="rId2"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5.5"/>
    <col customWidth="1" min="2" max="2" width="1.88"/>
    <col customWidth="1" min="3" max="3" width="2.25"/>
    <col customWidth="1" min="4" max="4" width="11.63"/>
    <col customWidth="1" min="5" max="5" width="19.13"/>
    <col customWidth="1" min="6" max="6" width="32.38"/>
    <col customWidth="1" min="7" max="7" width="5.75"/>
    <col customWidth="1" min="8" max="8" width="34.38"/>
    <col customWidth="1" min="9" max="9" width="5.5"/>
  </cols>
  <sheetData>
    <row r="1" ht="32.25" customHeight="1">
      <c r="A1" s="1"/>
      <c r="B1" s="2" t="s">
        <v>0</v>
      </c>
      <c r="G1" s="3"/>
      <c r="H1" s="3"/>
      <c r="I1" s="3"/>
    </row>
    <row r="2" ht="21.75" customHeight="1"/>
    <row r="3" ht="49.5" customHeight="1">
      <c r="A3" s="4"/>
      <c r="B3" s="5" t="s">
        <v>1</v>
      </c>
      <c r="C3" s="6"/>
      <c r="D3" s="6"/>
      <c r="E3" s="6"/>
      <c r="F3" s="6"/>
      <c r="G3" s="6"/>
      <c r="H3" s="7"/>
      <c r="I3" s="4"/>
    </row>
    <row r="4" ht="21.75" customHeight="1"/>
    <row r="5">
      <c r="B5" s="8" t="s">
        <v>2</v>
      </c>
      <c r="C5" s="9"/>
      <c r="D5" s="9"/>
      <c r="E5" s="9"/>
      <c r="F5" s="9"/>
      <c r="G5" s="9"/>
      <c r="H5" s="10"/>
    </row>
    <row r="6">
      <c r="B6" s="11" t="s">
        <v>3</v>
      </c>
      <c r="H6" s="12"/>
    </row>
    <row r="7">
      <c r="B7" s="13"/>
      <c r="C7" s="14"/>
      <c r="D7" s="15" t="s">
        <v>4</v>
      </c>
      <c r="H7" s="12"/>
    </row>
    <row r="8">
      <c r="B8" s="13"/>
      <c r="C8" s="14"/>
      <c r="D8" s="14" t="s">
        <v>5</v>
      </c>
      <c r="H8" s="12"/>
    </row>
    <row r="9" ht="76.5" customHeight="1">
      <c r="B9" s="16"/>
      <c r="C9" s="14"/>
      <c r="D9" s="14"/>
      <c r="E9" s="14"/>
      <c r="F9" s="14"/>
      <c r="G9" s="14"/>
      <c r="H9" s="17"/>
    </row>
    <row r="10">
      <c r="B10" s="16"/>
      <c r="C10" s="14"/>
      <c r="D10" s="14"/>
      <c r="H10" s="12"/>
    </row>
    <row r="11">
      <c r="B11" s="16" t="s">
        <v>6</v>
      </c>
      <c r="C11" s="14"/>
      <c r="D11" s="14"/>
      <c r="E11" s="14"/>
      <c r="F11" s="14"/>
      <c r="G11" s="14"/>
      <c r="H11" s="17"/>
    </row>
    <row r="12">
      <c r="B12" s="13"/>
      <c r="C12" s="14"/>
      <c r="D12" s="14" t="s">
        <v>7</v>
      </c>
      <c r="H12" s="12"/>
    </row>
    <row r="13">
      <c r="B13" s="13"/>
      <c r="C13" s="14"/>
      <c r="D13" s="14" t="s">
        <v>8</v>
      </c>
      <c r="H13" s="12"/>
    </row>
    <row r="14" ht="86.25" customHeight="1">
      <c r="B14" s="13"/>
      <c r="C14" s="14"/>
      <c r="D14" s="14"/>
      <c r="E14" s="14"/>
      <c r="F14" s="14"/>
      <c r="G14" s="14"/>
      <c r="H14" s="17"/>
    </row>
    <row r="15">
      <c r="B15" s="13"/>
      <c r="C15" s="14"/>
      <c r="D15" s="14" t="s">
        <v>9</v>
      </c>
      <c r="H15" s="12"/>
    </row>
    <row r="16" ht="111.0" customHeight="1">
      <c r="B16" s="13"/>
      <c r="C16" s="14"/>
      <c r="D16" s="14"/>
      <c r="E16" s="14"/>
      <c r="F16" s="14"/>
      <c r="G16" s="14"/>
      <c r="H16" s="17"/>
    </row>
    <row r="17" ht="15.75" customHeight="1">
      <c r="B17" s="13" t="s">
        <v>10</v>
      </c>
      <c r="H17" s="12"/>
    </row>
    <row r="18" ht="15.75" customHeight="1">
      <c r="B18" s="13"/>
      <c r="C18" s="14"/>
      <c r="D18" s="18" t="s">
        <v>11</v>
      </c>
      <c r="H18" s="12"/>
    </row>
    <row r="19" ht="31.5" customHeight="1">
      <c r="B19" s="13"/>
      <c r="C19" s="14"/>
      <c r="D19" s="14" t="s">
        <v>12</v>
      </c>
      <c r="H19" s="12"/>
    </row>
    <row r="20" ht="94.5" customHeight="1">
      <c r="B20" s="13"/>
      <c r="C20" s="14"/>
      <c r="D20" s="14"/>
      <c r="E20" s="14"/>
      <c r="F20" s="14"/>
      <c r="G20" s="14"/>
      <c r="H20" s="17"/>
    </row>
    <row r="21" ht="94.5" customHeight="1">
      <c r="B21" s="13"/>
      <c r="C21" s="14"/>
      <c r="D21" s="14"/>
      <c r="E21" s="14"/>
      <c r="F21" s="14"/>
      <c r="G21" s="14"/>
      <c r="H21" s="17"/>
    </row>
    <row r="22" ht="5.25" customHeight="1">
      <c r="B22" s="19"/>
      <c r="C22" s="20"/>
      <c r="D22" s="20"/>
      <c r="E22" s="20"/>
      <c r="F22" s="20"/>
      <c r="G22" s="20"/>
      <c r="H22" s="21"/>
    </row>
    <row r="23" ht="21.75" customHeight="1"/>
    <row r="24">
      <c r="B24" s="8" t="s">
        <v>13</v>
      </c>
      <c r="C24" s="9"/>
      <c r="D24" s="9"/>
      <c r="E24" s="9"/>
      <c r="F24" s="9"/>
      <c r="G24" s="9"/>
      <c r="H24" s="10"/>
    </row>
    <row r="25">
      <c r="B25" s="13" t="s">
        <v>14</v>
      </c>
      <c r="H25" s="12"/>
    </row>
    <row r="26" ht="16.5" customHeight="1">
      <c r="B26" s="22"/>
      <c r="C26" s="23" t="s">
        <v>15</v>
      </c>
      <c r="H26" s="24"/>
    </row>
    <row r="27">
      <c r="B27" s="25"/>
      <c r="C27" s="26" t="s">
        <v>16</v>
      </c>
      <c r="H27" s="24"/>
    </row>
    <row r="28" ht="11.25" customHeight="1">
      <c r="B28" s="25"/>
      <c r="C28" s="26"/>
      <c r="H28" s="24"/>
    </row>
    <row r="29">
      <c r="B29" s="13" t="s">
        <v>17</v>
      </c>
      <c r="H29" s="12"/>
    </row>
    <row r="30">
      <c r="B30" s="13"/>
      <c r="C30" s="14" t="s">
        <v>18</v>
      </c>
      <c r="H30" s="12"/>
    </row>
    <row r="31">
      <c r="B31" s="25"/>
      <c r="C31" s="27" t="s">
        <v>19</v>
      </c>
      <c r="H31" s="12"/>
    </row>
    <row r="32" ht="11.25" customHeight="1">
      <c r="B32" s="25"/>
      <c r="H32" s="24"/>
    </row>
    <row r="33">
      <c r="B33" s="28" t="s">
        <v>20</v>
      </c>
      <c r="H33" s="12"/>
    </row>
    <row r="34" ht="10.5" customHeight="1">
      <c r="B34" s="28"/>
      <c r="C34" s="29"/>
      <c r="D34" s="29"/>
      <c r="E34" s="29"/>
      <c r="F34" s="29"/>
      <c r="G34" s="29"/>
      <c r="H34" s="30"/>
    </row>
    <row r="35">
      <c r="B35" s="31" t="s">
        <v>21</v>
      </c>
      <c r="C35" s="32"/>
      <c r="D35" s="32"/>
      <c r="E35" s="32"/>
      <c r="F35" s="32"/>
      <c r="G35" s="32"/>
      <c r="H35" s="33"/>
    </row>
    <row r="37" ht="21.75" customHeight="1">
      <c r="A37" s="34"/>
      <c r="B37" s="35" t="s">
        <v>22</v>
      </c>
      <c r="C37" s="36"/>
      <c r="D37" s="36"/>
      <c r="E37" s="36" t="s">
        <v>23</v>
      </c>
      <c r="F37" s="37"/>
      <c r="G37" s="38"/>
      <c r="H37" s="39"/>
      <c r="I37" s="34"/>
    </row>
    <row r="38">
      <c r="B38" s="40"/>
      <c r="C38" s="40"/>
      <c r="D38" s="40"/>
      <c r="E38" s="40"/>
      <c r="G38" s="41"/>
      <c r="H38" s="41"/>
    </row>
    <row r="39">
      <c r="B39" s="40"/>
      <c r="C39" s="40"/>
      <c r="D39" s="40"/>
      <c r="E39" s="40"/>
      <c r="G39" s="42" t="s">
        <v>24</v>
      </c>
    </row>
  </sheetData>
  <mergeCells count="18">
    <mergeCell ref="B1:F1"/>
    <mergeCell ref="B3:H3"/>
    <mergeCell ref="B6:H6"/>
    <mergeCell ref="D7:H7"/>
    <mergeCell ref="D8:H8"/>
    <mergeCell ref="D10:H10"/>
    <mergeCell ref="D12:H12"/>
    <mergeCell ref="C30:H30"/>
    <mergeCell ref="C31:H31"/>
    <mergeCell ref="B33:H33"/>
    <mergeCell ref="G39:H39"/>
    <mergeCell ref="D13:H13"/>
    <mergeCell ref="D15:H15"/>
    <mergeCell ref="B17:H17"/>
    <mergeCell ref="D18:H18"/>
    <mergeCell ref="D19:H19"/>
    <mergeCell ref="B25:H25"/>
    <mergeCell ref="B29:H29"/>
  </mergeCells>
  <hyperlinks>
    <hyperlink r:id="rId1" ref="B3"/>
    <hyperlink r:id="rId2" ref="D7"/>
    <hyperlink r:id="rId3" ref="D18"/>
    <hyperlink display="Introduction &amp; Table of Contents →" location="IntroTitle" ref="G3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26" t="s">
        <v>25</v>
      </c>
      <c r="B1" s="43"/>
      <c r="C1" s="44"/>
    </row>
    <row r="2">
      <c r="A2" s="26" t="s">
        <v>26</v>
      </c>
      <c r="B2" s="45" t="s">
        <v>27</v>
      </c>
      <c r="C2" s="26" t="s">
        <v>28</v>
      </c>
    </row>
    <row r="3">
      <c r="A3" s="23" t="s">
        <v>29</v>
      </c>
      <c r="B3" s="46" t="s">
        <v>30</v>
      </c>
      <c r="C3" s="23" t="s">
        <v>31</v>
      </c>
    </row>
    <row r="4">
      <c r="A4" s="23" t="s">
        <v>32</v>
      </c>
      <c r="B4" s="46" t="s">
        <v>33</v>
      </c>
      <c r="C4" s="23" t="s">
        <v>31</v>
      </c>
    </row>
    <row r="5">
      <c r="A5" s="23" t="s">
        <v>34</v>
      </c>
      <c r="B5" s="46" t="s">
        <v>35</v>
      </c>
      <c r="C5" s="23" t="s">
        <v>31</v>
      </c>
    </row>
    <row r="6">
      <c r="A6" s="23" t="s">
        <v>36</v>
      </c>
      <c r="B6" s="46" t="s">
        <v>37</v>
      </c>
      <c r="C6" s="23" t="s">
        <v>31</v>
      </c>
    </row>
    <row r="7">
      <c r="A7" s="23" t="s">
        <v>38</v>
      </c>
      <c r="B7" s="46" t="s">
        <v>39</v>
      </c>
      <c r="C7" s="23" t="s">
        <v>31</v>
      </c>
    </row>
    <row r="8">
      <c r="A8" s="23" t="s">
        <v>40</v>
      </c>
      <c r="B8" s="46" t="s">
        <v>41</v>
      </c>
      <c r="C8" s="23" t="s">
        <v>31</v>
      </c>
    </row>
    <row r="9">
      <c r="A9" s="23" t="s">
        <v>42</v>
      </c>
      <c r="B9" s="46" t="s">
        <v>43</v>
      </c>
      <c r="C9" s="23" t="s">
        <v>31</v>
      </c>
    </row>
    <row r="10">
      <c r="B10" s="47"/>
    </row>
    <row r="11">
      <c r="B11" s="47"/>
    </row>
    <row r="12">
      <c r="B12" s="47"/>
    </row>
    <row r="13">
      <c r="B13" s="47"/>
    </row>
    <row r="14">
      <c r="B14" s="47"/>
    </row>
    <row r="15">
      <c r="B15" s="47"/>
    </row>
    <row r="16">
      <c r="B16" s="47"/>
    </row>
    <row r="17">
      <c r="B17" s="47"/>
    </row>
    <row r="18">
      <c r="B18" s="47"/>
    </row>
    <row r="19">
      <c r="B19" s="47"/>
    </row>
    <row r="20">
      <c r="B20" s="47"/>
    </row>
    <row r="21">
      <c r="B21" s="47"/>
    </row>
    <row r="22">
      <c r="B22" s="47"/>
    </row>
    <row r="23">
      <c r="B23" s="47"/>
    </row>
    <row r="24">
      <c r="B24" s="47"/>
    </row>
    <row r="25">
      <c r="B25" s="47"/>
    </row>
    <row r="26">
      <c r="B26" s="47"/>
    </row>
    <row r="27">
      <c r="B27" s="47"/>
    </row>
    <row r="28">
      <c r="B28" s="47"/>
    </row>
    <row r="29">
      <c r="B29" s="47"/>
    </row>
    <row r="30">
      <c r="B30" s="47"/>
    </row>
    <row r="31">
      <c r="B31" s="47"/>
    </row>
    <row r="32">
      <c r="B32" s="47"/>
    </row>
    <row r="33">
      <c r="B33" s="47"/>
    </row>
    <row r="34">
      <c r="B34" s="47"/>
    </row>
    <row r="35">
      <c r="B35" s="47"/>
    </row>
    <row r="36">
      <c r="B36" s="47"/>
    </row>
    <row r="37">
      <c r="B37" s="47"/>
    </row>
    <row r="38">
      <c r="B38" s="47"/>
    </row>
    <row r="39">
      <c r="B39" s="47"/>
    </row>
    <row r="40">
      <c r="B40" s="47"/>
    </row>
    <row r="41">
      <c r="B41" s="47"/>
    </row>
    <row r="42">
      <c r="B42" s="47"/>
    </row>
    <row r="43">
      <c r="B43" s="47"/>
    </row>
    <row r="44">
      <c r="B44" s="47"/>
    </row>
    <row r="45">
      <c r="B45" s="47"/>
    </row>
    <row r="46">
      <c r="B46" s="47"/>
    </row>
    <row r="47">
      <c r="B47" s="47"/>
    </row>
    <row r="48">
      <c r="B48"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7.75"/>
    <col customWidth="1" min="2" max="2" width="4.5"/>
    <col customWidth="1" min="3" max="3" width="1.13"/>
    <col customWidth="1" min="4" max="4" width="4.0"/>
    <col customWidth="1" min="8" max="8" width="76.5"/>
    <col customWidth="1" min="9" max="9" width="5.5"/>
  </cols>
  <sheetData>
    <row r="1" ht="37.5" customHeight="1">
      <c r="A1" s="1"/>
      <c r="B1" s="48" t="s">
        <v>44</v>
      </c>
      <c r="I1" s="3"/>
    </row>
    <row r="2" ht="21.75" customHeight="1"/>
    <row r="3">
      <c r="B3" s="8" t="s">
        <v>45</v>
      </c>
      <c r="C3" s="9"/>
      <c r="D3" s="9"/>
      <c r="E3" s="9"/>
      <c r="F3" s="9"/>
      <c r="G3" s="9"/>
      <c r="H3" s="10"/>
    </row>
    <row r="4">
      <c r="B4" s="19" t="s">
        <v>46</v>
      </c>
      <c r="C4" s="49"/>
      <c r="D4" s="49"/>
      <c r="E4" s="49"/>
      <c r="F4" s="49"/>
      <c r="G4" s="49"/>
      <c r="H4" s="50"/>
    </row>
    <row r="5" ht="21.75" customHeight="1"/>
    <row r="6">
      <c r="B6" s="8" t="s">
        <v>47</v>
      </c>
      <c r="C6" s="9"/>
      <c r="D6" s="9"/>
      <c r="E6" s="9"/>
      <c r="F6" s="9"/>
      <c r="G6" s="9"/>
      <c r="H6" s="10"/>
    </row>
    <row r="7">
      <c r="B7" s="51" t="s">
        <v>48</v>
      </c>
      <c r="H7" s="12"/>
    </row>
    <row r="8" ht="16.5" customHeight="1">
      <c r="B8" s="25"/>
      <c r="H8" s="24"/>
    </row>
    <row r="9">
      <c r="B9" s="52" t="s">
        <v>49</v>
      </c>
      <c r="C9" s="53"/>
      <c r="D9" s="54" t="s">
        <v>50</v>
      </c>
      <c r="E9" s="55"/>
      <c r="F9" s="55"/>
      <c r="G9" s="55"/>
      <c r="H9" s="56"/>
    </row>
    <row r="10">
      <c r="B10" s="57"/>
      <c r="D10" s="26"/>
      <c r="E10" s="58" t="s">
        <v>0</v>
      </c>
      <c r="H10" s="24"/>
    </row>
    <row r="11" ht="8.25" customHeight="1">
      <c r="B11" s="57"/>
      <c r="D11" s="26"/>
      <c r="H11" s="24"/>
    </row>
    <row r="12">
      <c r="B12" s="59" t="s">
        <v>51</v>
      </c>
      <c r="C12" s="53"/>
      <c r="D12" s="54" t="s">
        <v>52</v>
      </c>
      <c r="E12" s="55"/>
      <c r="F12" s="55"/>
      <c r="G12" s="55"/>
      <c r="H12" s="56"/>
    </row>
    <row r="13">
      <c r="B13" s="57"/>
      <c r="E13" s="58" t="s">
        <v>53</v>
      </c>
      <c r="H13" s="24"/>
    </row>
    <row r="14">
      <c r="B14" s="57"/>
      <c r="E14" s="58" t="s">
        <v>54</v>
      </c>
      <c r="H14" s="24"/>
    </row>
    <row r="15" ht="8.25" customHeight="1">
      <c r="B15" s="57"/>
      <c r="H15" s="24"/>
    </row>
    <row r="16">
      <c r="B16" s="57"/>
      <c r="D16" s="26" t="s">
        <v>55</v>
      </c>
      <c r="H16" s="12"/>
    </row>
    <row r="17">
      <c r="B17" s="57"/>
      <c r="E17" s="58" t="s">
        <v>53</v>
      </c>
      <c r="H17" s="24"/>
    </row>
    <row r="18">
      <c r="B18" s="57"/>
      <c r="E18" s="58" t="s">
        <v>54</v>
      </c>
      <c r="H18" s="24"/>
    </row>
    <row r="19" ht="8.25" customHeight="1">
      <c r="B19" s="57"/>
      <c r="H19" s="24"/>
    </row>
    <row r="20">
      <c r="B20" s="57"/>
      <c r="D20" s="26" t="s">
        <v>56</v>
      </c>
      <c r="H20" s="12"/>
    </row>
    <row r="21">
      <c r="B21" s="57"/>
      <c r="E21" s="58" t="s">
        <v>53</v>
      </c>
      <c r="H21" s="24"/>
    </row>
    <row r="22">
      <c r="B22" s="57"/>
      <c r="E22" s="58" t="s">
        <v>54</v>
      </c>
      <c r="H22" s="24"/>
    </row>
    <row r="23" ht="8.25" customHeight="1">
      <c r="B23" s="57"/>
      <c r="H23" s="24"/>
    </row>
    <row r="24">
      <c r="B24" s="60" t="s">
        <v>57</v>
      </c>
      <c r="C24" s="53"/>
      <c r="D24" s="54" t="s">
        <v>58</v>
      </c>
      <c r="E24" s="55"/>
      <c r="F24" s="55"/>
      <c r="G24" s="55"/>
      <c r="H24" s="56"/>
    </row>
    <row r="25">
      <c r="B25" s="57"/>
      <c r="E25" s="58" t="s">
        <v>53</v>
      </c>
      <c r="H25" s="24"/>
    </row>
    <row r="26">
      <c r="B26" s="57"/>
      <c r="E26" s="58" t="s">
        <v>54</v>
      </c>
      <c r="H26" s="24"/>
    </row>
    <row r="27" ht="8.25" customHeight="1">
      <c r="B27" s="57"/>
      <c r="H27" s="24"/>
    </row>
    <row r="28">
      <c r="B28" s="57"/>
      <c r="D28" s="26" t="s">
        <v>59</v>
      </c>
      <c r="H28" s="12"/>
    </row>
    <row r="29">
      <c r="B29" s="57"/>
      <c r="E29" s="58" t="s">
        <v>53</v>
      </c>
      <c r="H29" s="24"/>
    </row>
    <row r="30">
      <c r="B30" s="57"/>
      <c r="E30" s="58" t="s">
        <v>54</v>
      </c>
      <c r="H30" s="24"/>
    </row>
    <row r="31" ht="8.25" customHeight="1">
      <c r="B31" s="57"/>
      <c r="H31" s="24"/>
    </row>
    <row r="32">
      <c r="B32" s="57"/>
      <c r="D32" s="26" t="s">
        <v>60</v>
      </c>
      <c r="H32" s="12"/>
    </row>
    <row r="33">
      <c r="B33" s="57"/>
      <c r="E33" s="58" t="s">
        <v>53</v>
      </c>
      <c r="H33" s="24"/>
    </row>
    <row r="34">
      <c r="B34" s="57"/>
      <c r="E34" s="58" t="s">
        <v>54</v>
      </c>
      <c r="H34" s="24"/>
    </row>
    <row r="35" ht="8.25" customHeight="1">
      <c r="B35" s="57"/>
      <c r="H35" s="24"/>
    </row>
    <row r="36">
      <c r="B36" s="57"/>
      <c r="D36" s="26" t="s">
        <v>61</v>
      </c>
      <c r="H36" s="12"/>
    </row>
    <row r="37">
      <c r="B37" s="57"/>
      <c r="E37" s="58" t="s">
        <v>53</v>
      </c>
      <c r="H37" s="24"/>
    </row>
    <row r="38">
      <c r="B38" s="57"/>
      <c r="E38" s="58" t="s">
        <v>54</v>
      </c>
      <c r="H38" s="24"/>
    </row>
    <row r="39" ht="8.25" customHeight="1">
      <c r="B39" s="57"/>
      <c r="H39" s="24"/>
    </row>
    <row r="40">
      <c r="B40" s="61" t="s">
        <v>62</v>
      </c>
      <c r="C40" s="53"/>
      <c r="D40" s="54" t="s">
        <v>63</v>
      </c>
      <c r="E40" s="55"/>
      <c r="F40" s="55"/>
      <c r="G40" s="55"/>
      <c r="H40" s="56"/>
    </row>
    <row r="41">
      <c r="B41" s="57"/>
      <c r="E41" s="58" t="s">
        <v>53</v>
      </c>
      <c r="H41" s="24"/>
    </row>
    <row r="42">
      <c r="B42" s="57"/>
      <c r="E42" s="58" t="s">
        <v>54</v>
      </c>
      <c r="H42" s="24"/>
    </row>
    <row r="43" ht="8.25" customHeight="1">
      <c r="B43" s="57"/>
      <c r="H43" s="24"/>
    </row>
    <row r="44">
      <c r="B44" s="57"/>
      <c r="D44" s="26" t="s">
        <v>64</v>
      </c>
      <c r="H44" s="12"/>
    </row>
    <row r="45">
      <c r="B45" s="57"/>
      <c r="E45" s="58" t="s">
        <v>65</v>
      </c>
      <c r="H45" s="12"/>
    </row>
    <row r="46">
      <c r="B46" s="57"/>
      <c r="E46" s="58" t="s">
        <v>66</v>
      </c>
      <c r="H46" s="24"/>
    </row>
    <row r="47">
      <c r="B47" s="57"/>
      <c r="E47" s="58" t="s">
        <v>67</v>
      </c>
      <c r="H47" s="24"/>
    </row>
    <row r="48">
      <c r="B48" s="57"/>
      <c r="E48" s="58" t="s">
        <v>68</v>
      </c>
      <c r="H48" s="24"/>
    </row>
    <row r="49">
      <c r="B49" s="57"/>
      <c r="E49" s="58" t="s">
        <v>69</v>
      </c>
      <c r="G49" s="62"/>
      <c r="H49" s="24"/>
    </row>
    <row r="50" ht="8.25" customHeight="1">
      <c r="B50" s="57"/>
      <c r="H50" s="24"/>
    </row>
    <row r="51">
      <c r="B51" s="57"/>
      <c r="D51" s="26" t="s">
        <v>70</v>
      </c>
      <c r="H51" s="12"/>
    </row>
    <row r="52">
      <c r="B52" s="57"/>
      <c r="E52" s="58" t="s">
        <v>71</v>
      </c>
      <c r="G52" s="62"/>
      <c r="H52" s="63"/>
    </row>
    <row r="53">
      <c r="B53" s="57"/>
      <c r="E53" s="58" t="s">
        <v>72</v>
      </c>
      <c r="F53" s="62"/>
      <c r="G53" s="62"/>
      <c r="H53" s="63"/>
    </row>
    <row r="54">
      <c r="B54" s="57"/>
      <c r="E54" s="58" t="s">
        <v>73</v>
      </c>
      <c r="H54" s="12"/>
    </row>
    <row r="55" ht="8.25" customHeight="1">
      <c r="B55" s="64"/>
      <c r="C55" s="65"/>
      <c r="D55" s="65"/>
      <c r="E55" s="65"/>
      <c r="F55" s="65"/>
      <c r="G55" s="65"/>
      <c r="H55" s="66"/>
    </row>
    <row r="57">
      <c r="B57" s="67" t="s">
        <v>74</v>
      </c>
      <c r="G57" s="68"/>
      <c r="H57" s="42" t="s">
        <v>75</v>
      </c>
    </row>
  </sheetData>
  <mergeCells count="27">
    <mergeCell ref="D12:H12"/>
    <mergeCell ref="D16:H16"/>
    <mergeCell ref="B12:B23"/>
    <mergeCell ref="B24:B39"/>
    <mergeCell ref="B40:B55"/>
    <mergeCell ref="B1:H1"/>
    <mergeCell ref="B4:H4"/>
    <mergeCell ref="B7:H7"/>
    <mergeCell ref="B9:B11"/>
    <mergeCell ref="D9:H9"/>
    <mergeCell ref="E10:F10"/>
    <mergeCell ref="D20:H20"/>
    <mergeCell ref="E46:G46"/>
    <mergeCell ref="E47:G47"/>
    <mergeCell ref="E48:G48"/>
    <mergeCell ref="E49:F49"/>
    <mergeCell ref="D51:H51"/>
    <mergeCell ref="E52:F52"/>
    <mergeCell ref="E54:H54"/>
    <mergeCell ref="B57:F57"/>
    <mergeCell ref="D24:H24"/>
    <mergeCell ref="D28:H28"/>
    <mergeCell ref="D32:H32"/>
    <mergeCell ref="D36:H36"/>
    <mergeCell ref="D40:H40"/>
    <mergeCell ref="D44:H44"/>
    <mergeCell ref="E45:H45"/>
  </mergeCells>
  <hyperlinks>
    <hyperlink r:id="rId1" ref="B7"/>
    <hyperlink display="Tutorial How-To" location="'Tutorial How-To'!A1" ref="E10"/>
    <hyperlink display="Lesson" location="C1LessonTitle" ref="E13"/>
    <hyperlink display="Exercises" location="C1ExerciseTitle" ref="E14"/>
    <hyperlink display="Lesson" location="C2LessonTitle" ref="E17"/>
    <hyperlink display="Exercises" location="C2ExerciseTitle" ref="E18"/>
    <hyperlink display="Lesson" location="C3LessonTitle" ref="E21"/>
    <hyperlink display="Exercises" location="C3ExerciseTitle" ref="E22"/>
    <hyperlink display="Lesson" location="C4LessonTitle" ref="E25"/>
    <hyperlink display="Exercises" location="C4ExerciseTitle" ref="E26"/>
    <hyperlink display="Lesson" location="C5LessonTitle" ref="E29"/>
    <hyperlink display="Exercises" location="C5ExerciseTitle" ref="E30"/>
    <hyperlink display="Lesson" location="C6LessonTitle" ref="E33"/>
    <hyperlink display="Exercises" location="C6ExerciseTitle" ref="E34"/>
    <hyperlink display="Lesson" location="C7LessonTitle" ref="E37"/>
    <hyperlink display="Exercises" location="C7ExerciseTitle" ref="E38"/>
    <hyperlink display="Lesson" location="C8LessonTitle" ref="E41"/>
    <hyperlink display="Exercises" location="C8ExerciseTitle" ref="E42"/>
    <hyperlink display="Complex Prompts from Scratch - Chatbot" location="C9TemplateTitle" ref="E45"/>
    <hyperlink display="Complex Prompts for Legal Services" location="C9LegalTitle" ref="E46"/>
    <hyperlink display="Exercise: Complex Prompts for Financial Services" location="C9FinancialTitle" ref="E47"/>
    <hyperlink display="Exercise: Complex Prompts for Coding" location="C9CodingTitle" ref="E48"/>
    <hyperlink display="Congratulations &amp; Next Steps" location="C9CongratsTitle" ref="E49"/>
    <hyperlink display="Chaining Prompts" location="AppChainingTitle" ref="E52"/>
    <hyperlink display="Function Calling" location="AppFunctionTitle" ref="E53"/>
    <hyperlink display="Search &amp; Retrieval" location="App1Title" ref="E54"/>
    <hyperlink display="← Tutorial How-To" location="TutorialTitle" ref="B57"/>
    <hyperlink display="Chapter 1: Basic Prompt Structure →" location="C1LessonTitle" ref="H5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13"/>
    <col customWidth="1" min="4" max="4" width="4.0"/>
    <col customWidth="1" min="5" max="5" width="48.5"/>
    <col customWidth="1" min="6" max="6" width="3.0"/>
    <col customWidth="1" min="7" max="7" width="5.5"/>
  </cols>
  <sheetData>
    <row r="1" ht="32.25" customHeight="1">
      <c r="A1" s="1"/>
      <c r="B1" s="2" t="s">
        <v>52</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76" t="s">
        <v>81</v>
      </c>
      <c r="F9" s="12"/>
    </row>
    <row r="10" ht="11.25" customHeight="1">
      <c r="B10" s="77"/>
      <c r="C10" s="78"/>
      <c r="D10" s="78"/>
      <c r="E10" s="78"/>
      <c r="F10" s="79"/>
    </row>
    <row r="11">
      <c r="B11" s="80" t="s">
        <v>82</v>
      </c>
      <c r="F11" s="12"/>
    </row>
    <row r="12" ht="15.75" customHeight="1">
      <c r="A12" s="71"/>
      <c r="B12" s="81"/>
      <c r="C12" s="82" t="s">
        <v>83</v>
      </c>
      <c r="D12" s="82"/>
      <c r="E12" s="82"/>
      <c r="F12" s="83"/>
      <c r="G12" s="71"/>
    </row>
    <row r="13" ht="15.75" customHeight="1">
      <c r="A13" s="71"/>
      <c r="B13" s="81"/>
      <c r="C13" s="82" t="s">
        <v>84</v>
      </c>
      <c r="D13" s="82"/>
      <c r="E13" s="82"/>
      <c r="F13" s="83"/>
      <c r="G13" s="71"/>
    </row>
    <row r="14" ht="15.75" customHeight="1">
      <c r="A14" s="71"/>
      <c r="B14" s="81"/>
      <c r="C14" s="84" t="s">
        <v>85</v>
      </c>
      <c r="F14" s="83"/>
      <c r="G14" s="71"/>
    </row>
    <row r="15" ht="39.0" customHeight="1">
      <c r="A15" s="85"/>
      <c r="B15" s="86" t="s">
        <v>86</v>
      </c>
      <c r="F15" s="12"/>
      <c r="G15" s="85"/>
    </row>
    <row r="16" ht="11.25" customHeight="1">
      <c r="B16" s="77"/>
      <c r="C16" s="78"/>
      <c r="D16" s="78"/>
      <c r="E16" s="78"/>
      <c r="F16" s="79"/>
    </row>
    <row r="17">
      <c r="B17" s="87" t="s">
        <v>87</v>
      </c>
      <c r="F17" s="12"/>
    </row>
    <row r="18" ht="11.25" customHeight="1">
      <c r="B18" s="77"/>
      <c r="C18" s="78"/>
      <c r="D18" s="78"/>
      <c r="E18" s="78"/>
      <c r="F18" s="79"/>
    </row>
    <row r="19">
      <c r="B19" s="88" t="s">
        <v>88</v>
      </c>
      <c r="C19" s="49"/>
      <c r="D19" s="49"/>
      <c r="E19" s="49"/>
      <c r="F19" s="50"/>
    </row>
    <row r="20" ht="33.75" customHeight="1">
      <c r="B20" s="9"/>
      <c r="C20" s="9"/>
      <c r="D20" s="9"/>
      <c r="E20" s="9"/>
      <c r="F20" s="9"/>
    </row>
    <row r="21" ht="29.25" customHeight="1">
      <c r="B21" s="72" t="s">
        <v>77</v>
      </c>
      <c r="C21" s="73"/>
      <c r="D21" s="73"/>
      <c r="E21" s="74" t="s">
        <v>80</v>
      </c>
      <c r="F21" s="75"/>
    </row>
    <row r="22">
      <c r="B22" s="89" t="s">
        <v>89</v>
      </c>
      <c r="F22" s="12"/>
    </row>
    <row r="23" ht="8.25" customHeight="1">
      <c r="B23" s="22"/>
      <c r="F23" s="24"/>
    </row>
    <row r="24">
      <c r="B24" s="25"/>
      <c r="C24" s="26" t="s">
        <v>90</v>
      </c>
      <c r="E24" s="26" t="s">
        <v>91</v>
      </c>
      <c r="F24" s="24"/>
    </row>
    <row r="25" ht="69.0" customHeight="1">
      <c r="B25" s="25"/>
      <c r="C25" s="90" t="s">
        <v>92</v>
      </c>
      <c r="D25" s="91" t="s">
        <v>93</v>
      </c>
      <c r="E25" s="92" t="str">
        <f>claudeMessages($C25,'Tutorial How-To'!$E$37,"temperature",0)</f>
        <v>I'm doing well, thanks for asking! As an AI assistant, I don't have feelings in the same way humans do, but I'm functioning properly and ready to assist you with any questions or tasks you may have. How can I help you today?</v>
      </c>
      <c r="G25" s="25"/>
    </row>
    <row r="26" ht="8.25" customHeight="1">
      <c r="B26" s="25"/>
      <c r="F26" s="12"/>
    </row>
    <row r="27" ht="103.5" customHeight="1">
      <c r="B27" s="25"/>
      <c r="C27" s="93" t="s">
        <v>94</v>
      </c>
      <c r="D27" s="91" t="s">
        <v>93</v>
      </c>
      <c r="E27" s="94" t="str">
        <f>claudeMessages($C27,'Tutorial How-To'!$E$37,"temperature",0)</f>
        <v>The color of the ocean can vary depending on a number of factors, but generally the ocean appears blue or bluish-green. Some key points about the color of the ocean:
- The primary reason the ocean appears blue is due to the way water interacts with sunlight. Water absorbs more of the red, orange, and yellow wavelengths of light, while reflecting the blue wavelengths back, making the ocean appear blue.
- The exact shade of blue can range from a deep navy blue to a lighter, more turquoise blue. This can depend on factors like the depth of the water, the amount of suspended particles, and the angle of the sunlight.
- In shallow, coastal waters, the ocean may appear more greenish-blue or turquoise due to the presence of algae, sediment, and other materials reflecting different wavelengths of light.
- In some areas, the ocean can appear more gray or even black, especially in areas with high plankton or algae content, or during stormy weather when the water is churned up.
So in summary, while the ocean has a wide range of possible colors, the most common and iconic color is some variation of blue, from deep navy to lighter turquoise shades. The exact hue can change based on location and environmental conditions.</v>
      </c>
      <c r="F27" s="24"/>
    </row>
    <row r="28" ht="103.5" customHeight="1">
      <c r="B28" s="25"/>
      <c r="C28" s="95"/>
      <c r="E28" s="95"/>
      <c r="F28" s="24"/>
    </row>
    <row r="29" ht="103.5" customHeight="1">
      <c r="B29" s="25"/>
      <c r="C29" s="96"/>
      <c r="E29" s="96"/>
      <c r="F29" s="24"/>
    </row>
    <row r="30" ht="8.25" customHeight="1">
      <c r="B30" s="25"/>
      <c r="F30" s="24"/>
    </row>
    <row r="31" ht="69.0" customHeight="1">
      <c r="B31" s="25"/>
      <c r="C31" s="90" t="s">
        <v>95</v>
      </c>
      <c r="D31" s="91" t="s">
        <v>93</v>
      </c>
      <c r="E31" s="92" t="str">
        <f>claudeMessages($C31,'Tutorial How-To'!$E$37,"temperature",0)</f>
        <v>Celine Dion was born on March 30, 1968.</v>
      </c>
      <c r="F31" s="24"/>
    </row>
    <row r="32" ht="22.5" customHeight="1">
      <c r="B32" s="25"/>
      <c r="F32" s="24"/>
    </row>
    <row r="33">
      <c r="B33" s="89" t="s">
        <v>96</v>
      </c>
      <c r="F33" s="12"/>
    </row>
    <row r="34" ht="8.25" customHeight="1">
      <c r="B34" s="25"/>
      <c r="F34" s="24"/>
    </row>
    <row r="35">
      <c r="B35" s="25"/>
      <c r="C35" s="26" t="s">
        <v>90</v>
      </c>
      <c r="E35" s="26" t="s">
        <v>91</v>
      </c>
      <c r="F35" s="24"/>
    </row>
    <row r="36" ht="71.25" customHeight="1">
      <c r="A36" s="97"/>
      <c r="B36" s="98"/>
      <c r="C36" s="99" t="s">
        <v>97</v>
      </c>
      <c r="D36" s="100" t="s">
        <v>93</v>
      </c>
      <c r="E36" s="101" t="str">
        <f>claudeMessages($C36,'Tutorial How-To'!$E$37,"temperature",0)</f>
        <v>⚠️=CLAUDEMESSAGES prompt should be in "User: ...
Assistant: ..." format, with "User: ..." first and a newline before each subsequent role. For newlines, press Ctrl/Cmd+Enter⚠️</v>
      </c>
      <c r="F36" s="102"/>
      <c r="G36" s="97"/>
    </row>
    <row r="37" ht="71.25" customHeight="1">
      <c r="A37" s="97"/>
      <c r="B37" s="98"/>
      <c r="C37" s="96"/>
      <c r="E37" s="103"/>
      <c r="F37" s="102"/>
      <c r="G37" s="97"/>
    </row>
    <row r="38" ht="22.5" customHeight="1">
      <c r="B38" s="25"/>
      <c r="F38" s="24"/>
    </row>
    <row r="39">
      <c r="B39" s="104" t="s">
        <v>98</v>
      </c>
      <c r="F39" s="12"/>
    </row>
    <row r="40" ht="8.25" customHeight="1">
      <c r="B40" s="25"/>
      <c r="F40" s="24"/>
    </row>
    <row r="41">
      <c r="B41" s="25"/>
      <c r="C41" s="26" t="s">
        <v>90</v>
      </c>
      <c r="E41" s="26" t="s">
        <v>91</v>
      </c>
      <c r="F41" s="24"/>
    </row>
    <row r="42" ht="63.75" customHeight="1">
      <c r="B42" s="25"/>
      <c r="C42" s="105" t="s">
        <v>99</v>
      </c>
      <c r="D42" s="100" t="s">
        <v>93</v>
      </c>
      <c r="E42" s="105" t="str">
        <f>claudeMessages($C42,'Tutorial How-To'!$E$37,"temperature",0)</f>
        <v>Celine Dion was born on March 30, 1968 in Charlemagne, Quebec, Canada.
Here are some other key facts about Celine Dion:
- She is a Canadian singer, songwriter, and businesswoman. She is one of the most successful and influential pop singers of all time.
- She first gained international fame in the 1990s with her album "Falling Into You" and the theme song for the film Titanic, "My Heart Will Go On", which became one of the best-selling singles of all time.
- She has won numerous awards throughout her career, including 5 Grammy Awards, 2 Academy Awards, 7 American Music Awards, and 20 Juno Awards.
- She is the best-selling Canadian recording artist and the second best-selling female artist in history, having sold over 200 million albums worldwide.
- In addition to her music career, she has also ventured into acting, appearing in films like Titanic and The Making of Celine.
- She is known for her powerful, technically skilled vocals and her ability to perform a wide range of musical genres including pop, rock, R&amp;B, and classical.
- She has been married to her manager, René Angélil, since 1994. They have 3 children together.
- She has taken extended breaks from her music career at times to focus on her family and personal life.</v>
      </c>
      <c r="F42" s="24"/>
    </row>
    <row r="43" ht="22.5" customHeight="1">
      <c r="B43" s="25"/>
      <c r="F43" s="24"/>
    </row>
    <row r="44">
      <c r="B44" s="104" t="s">
        <v>100</v>
      </c>
      <c r="F44" s="12"/>
    </row>
    <row r="45" ht="8.25" customHeight="1">
      <c r="B45" s="25"/>
      <c r="F45" s="24"/>
    </row>
    <row r="46">
      <c r="B46" s="25"/>
      <c r="C46" s="26" t="s">
        <v>90</v>
      </c>
      <c r="E46" s="26" t="s">
        <v>91</v>
      </c>
      <c r="F46" s="24"/>
    </row>
    <row r="47" ht="78.0" customHeight="1">
      <c r="B47" s="25"/>
      <c r="C47" s="99" t="s">
        <v>101</v>
      </c>
      <c r="D47" s="100" t="s">
        <v>93</v>
      </c>
      <c r="E47" s="99" t="str">
        <f>claudeMessages($C47,'Tutorial How-To'!$E$37,"temperature",0)</f>
        <v>⚠️=CLAUDEMESSAGES prompt should be in "User: ...
Assistant: ..." format, with "User: ..." first and a newline before each subsequent role. For newlines, press Ctrl/Cmd+Enter⚠️</v>
      </c>
      <c r="F47" s="24"/>
    </row>
    <row r="48" ht="78.0" customHeight="1">
      <c r="B48" s="25"/>
      <c r="C48" s="95"/>
      <c r="E48" s="95"/>
      <c r="F48" s="24"/>
    </row>
    <row r="49" ht="78.0" customHeight="1">
      <c r="B49" s="25"/>
      <c r="C49" s="96"/>
      <c r="E49" s="96"/>
      <c r="F49" s="24"/>
    </row>
    <row r="50" ht="22.5" customHeight="1">
      <c r="B50" s="25"/>
      <c r="F50" s="24"/>
    </row>
    <row r="51">
      <c r="B51" s="89" t="s">
        <v>102</v>
      </c>
      <c r="F51" s="12"/>
    </row>
    <row r="52" ht="11.25" customHeight="1">
      <c r="B52" s="77"/>
      <c r="C52" s="78"/>
      <c r="D52" s="78"/>
      <c r="E52" s="78"/>
      <c r="F52" s="79"/>
    </row>
    <row r="53">
      <c r="B53" s="89" t="s">
        <v>103</v>
      </c>
      <c r="F53" s="12"/>
    </row>
    <row r="54" ht="11.25" customHeight="1">
      <c r="B54" s="77"/>
      <c r="C54" s="78"/>
      <c r="D54" s="78"/>
      <c r="E54" s="78"/>
      <c r="F54" s="79"/>
    </row>
    <row r="55">
      <c r="A55" s="106"/>
      <c r="B55" s="107" t="s">
        <v>104</v>
      </c>
      <c r="F55" s="12"/>
      <c r="G55" s="108"/>
    </row>
    <row r="56" ht="8.25" customHeight="1">
      <c r="A56" s="106"/>
      <c r="B56" s="108"/>
      <c r="C56" s="108"/>
      <c r="D56" s="108"/>
      <c r="E56" s="108"/>
      <c r="F56" s="106"/>
      <c r="G56" s="108"/>
    </row>
    <row r="57" ht="16.5" customHeight="1">
      <c r="A57" s="106"/>
      <c r="B57" s="108"/>
      <c r="C57" s="109" t="s">
        <v>105</v>
      </c>
      <c r="D57" s="108"/>
      <c r="E57" s="110" t="s">
        <v>91</v>
      </c>
      <c r="F57" s="106"/>
      <c r="G57" s="108"/>
    </row>
    <row r="58" ht="80.25" customHeight="1">
      <c r="A58" s="106"/>
      <c r="B58" s="111"/>
      <c r="C58" s="112" t="s">
        <v>106</v>
      </c>
      <c r="D58" s="113" t="s">
        <v>93</v>
      </c>
      <c r="E58" s="94" t="str">
        <f>claudeMessages($C62,'Tutorial How-To'!$E$37,"temperature",0, "system", C58)</f>
        <v>Here are some critical thinking questions to further explore why the sky appears blue:
- What is the composition of the Earth's atmosphere, and how does that affect the way light interacts with it?
- How do different wavelengths of light behave as they pass through the atmosphere?
- What is the process known as Rayleigh scattering, and how does it contribute to the blue appearance of the sky?
- How do factors like the time of day, weather conditions, and location affect the perceived color of the sky?
- What other celestial bodies or phenomena, like the sun or clouds, influence the appearance of the sky?
- How have our scientific understanding and theories about the sky's color changed over time?
- What are some alternative explanations or perspectives on why the sky appears blue?
Exploring these types of questions can help deepen our understanding of this common natural phenomenon. Let me know if you have any other thoughts or reflections on this topic.</v>
      </c>
      <c r="F58" s="106"/>
      <c r="G58" s="108"/>
    </row>
    <row r="59" ht="80.25" customHeight="1">
      <c r="A59" s="106"/>
      <c r="B59" s="108"/>
      <c r="C59" s="96"/>
      <c r="D59" s="114"/>
      <c r="E59" s="95"/>
      <c r="F59" s="106"/>
      <c r="G59" s="108"/>
    </row>
    <row r="60" ht="8.25" customHeight="1">
      <c r="A60" s="106"/>
      <c r="B60" s="108"/>
      <c r="C60" s="115"/>
      <c r="D60" s="114"/>
      <c r="E60" s="95"/>
      <c r="F60" s="106"/>
      <c r="G60" s="108"/>
    </row>
    <row r="61" ht="16.5" customHeight="1">
      <c r="A61" s="106"/>
      <c r="B61" s="108"/>
      <c r="C61" s="109" t="s">
        <v>90</v>
      </c>
      <c r="D61" s="114"/>
      <c r="E61" s="95"/>
      <c r="F61" s="106"/>
      <c r="G61" s="108"/>
    </row>
    <row r="62" ht="80.25" customHeight="1">
      <c r="A62" s="106"/>
      <c r="B62" s="111"/>
      <c r="C62" s="116" t="s">
        <v>107</v>
      </c>
      <c r="D62" s="114"/>
      <c r="E62" s="96"/>
      <c r="F62" s="106"/>
      <c r="G62" s="108"/>
    </row>
    <row r="63" ht="11.25" customHeight="1">
      <c r="A63" s="106"/>
      <c r="B63" s="108"/>
      <c r="C63" s="108"/>
      <c r="D63" s="108"/>
      <c r="E63" s="108"/>
      <c r="F63" s="106"/>
      <c r="G63" s="108"/>
    </row>
    <row r="64">
      <c r="A64" s="106"/>
      <c r="B64" s="117" t="s">
        <v>108</v>
      </c>
      <c r="F64" s="12"/>
      <c r="G64" s="108"/>
    </row>
    <row r="65" ht="11.25" customHeight="1">
      <c r="B65" s="77"/>
      <c r="C65" s="78"/>
      <c r="D65" s="78"/>
      <c r="E65" s="78"/>
      <c r="F65" s="79"/>
    </row>
    <row r="66" ht="29.25" customHeight="1">
      <c r="B66" s="118" t="s">
        <v>109</v>
      </c>
      <c r="C66" s="49"/>
      <c r="D66" s="49"/>
      <c r="E66" s="49"/>
      <c r="F66" s="50"/>
    </row>
    <row r="67" ht="15.75" customHeight="1"/>
    <row r="68" ht="15.75" customHeight="1">
      <c r="E68" s="42" t="s">
        <v>110</v>
      </c>
    </row>
    <row r="69" ht="33.75" customHeight="1"/>
    <row r="70" ht="29.25" customHeight="1">
      <c r="B70" s="72" t="s">
        <v>79</v>
      </c>
      <c r="C70" s="73"/>
      <c r="D70" s="73"/>
      <c r="E70" s="74" t="s">
        <v>80</v>
      </c>
      <c r="F70" s="75"/>
    </row>
    <row r="71">
      <c r="B71" s="89" t="s">
        <v>111</v>
      </c>
      <c r="F71" s="12"/>
    </row>
    <row r="72" ht="8.25" customHeight="1">
      <c r="B72" s="22"/>
      <c r="F72" s="24"/>
    </row>
    <row r="73">
      <c r="B73" s="25"/>
      <c r="C73" s="26" t="s">
        <v>90</v>
      </c>
      <c r="E73" s="26" t="s">
        <v>91</v>
      </c>
      <c r="F73" s="24"/>
    </row>
    <row r="74" ht="69.0" customHeight="1">
      <c r="B74" s="25"/>
      <c r="C74" s="90" t="s">
        <v>92</v>
      </c>
      <c r="D74" s="91" t="s">
        <v>93</v>
      </c>
      <c r="E74" s="92" t="str">
        <f>claudeMessages($C74,'Tutorial How-To'!$E$37,"temperature",0)</f>
        <v>I'm doing well, thanks for asking! As an AI assistant, I don't have feelings in the same way humans do, but I'm functioning properly and ready to assist you with any questions or tasks you may have. How can I help you today?</v>
      </c>
      <c r="G74" s="25"/>
    </row>
    <row r="75" ht="8.25" customHeight="1">
      <c r="B75" s="25"/>
      <c r="F75" s="12"/>
    </row>
    <row r="76" ht="103.5" customHeight="1">
      <c r="B76" s="25"/>
      <c r="C76" s="93" t="s">
        <v>94</v>
      </c>
      <c r="D76" s="91" t="s">
        <v>93</v>
      </c>
      <c r="E76" s="94" t="str">
        <f>claudeMessages($C76,'Tutorial How-To'!$E$37,"temperature",0)</f>
        <v>The color of the ocean can vary depending on a number of factors, but generally the ocean appears blue or bluish-green. Some key points about the color of the ocean:
- The primary reason the ocean appears blue is due to the way water interacts with sunlight. Water absorbs more of the red, orange, and yellow wavelengths of light, while reflecting the blue wavelengths back, making the ocean appear blue.
- The exact shade of blue can range from a deep navy blue to a lighter, more turquoise blue. This can depend on factors like the depth of the water, the amount of suspended particles, and the angle of the sunlight.
- In shallow, coastal waters, the ocean may appear more greenish-blue or turquoise due to the presence of algae, sediment, and other materials reflecting different wavelengths of light.
- In some areas, the ocean can appear more gray or even black, especially in areas with high plankton or algae content, or during stormy weather when the water is churned up.
So in summary, while the ocean has a wide range of possible colors, the most common and iconic color is some variation of blue, from deep navy to lighter turquoise shades. The exact hue can change based on location and environmental conditions.</v>
      </c>
      <c r="F76" s="24"/>
    </row>
    <row r="77" ht="103.5" customHeight="1">
      <c r="B77" s="25"/>
      <c r="C77" s="95"/>
      <c r="E77" s="95"/>
      <c r="F77" s="24"/>
    </row>
    <row r="78" ht="103.5" customHeight="1">
      <c r="B78" s="25"/>
      <c r="C78" s="96"/>
      <c r="E78" s="96"/>
      <c r="F78" s="24"/>
    </row>
    <row r="79" ht="8.25" customHeight="1">
      <c r="B79" s="25"/>
      <c r="F79" s="24"/>
    </row>
    <row r="80" ht="69.0" customHeight="1">
      <c r="B80" s="25"/>
      <c r="C80" s="90" t="s">
        <v>95</v>
      </c>
      <c r="D80" s="91" t="s">
        <v>93</v>
      </c>
      <c r="E80" s="92" t="str">
        <f>claudeMessages($C80,'Tutorial How-To'!$E$37,"temperature",0)</f>
        <v>Celine Dion was born on March 30, 1968.</v>
      </c>
      <c r="F80" s="24"/>
    </row>
    <row r="81" ht="8.25" customHeight="1">
      <c r="B81" s="25"/>
      <c r="F81" s="12"/>
    </row>
    <row r="82" ht="71.25" customHeight="1">
      <c r="A82" s="97"/>
      <c r="B82" s="98"/>
      <c r="C82" s="99" t="s">
        <v>97</v>
      </c>
      <c r="D82" s="100" t="s">
        <v>93</v>
      </c>
      <c r="E82" s="119" t="str">
        <f>claudeMessages($C82,'Tutorial How-To'!$E$37,"temperature",0)</f>
        <v>⚠️=CLAUDEMESSAGES prompt should be in "User: ...
Assistant: ..." format, with "User: ..." first and a newline before each subsequent role. For newlines, press Ctrl/Cmd+Enter⚠️</v>
      </c>
      <c r="F82" s="102"/>
      <c r="G82" s="97"/>
    </row>
    <row r="83" ht="71.25" customHeight="1">
      <c r="A83" s="97"/>
      <c r="B83" s="98"/>
      <c r="C83" s="96"/>
      <c r="E83" s="103"/>
      <c r="F83" s="102"/>
      <c r="G83" s="97"/>
    </row>
    <row r="84" ht="8.25" customHeight="1">
      <c r="B84" s="25"/>
      <c r="F84" s="24"/>
    </row>
    <row r="85" ht="63.75" customHeight="1">
      <c r="B85" s="25"/>
      <c r="C85" s="105" t="s">
        <v>99</v>
      </c>
      <c r="D85" s="100" t="s">
        <v>93</v>
      </c>
      <c r="E85" s="105" t="str">
        <f>claudeMessages($C85,'Tutorial How-To'!$E$37,"temperature",0)</f>
        <v>Celine Dion was born on March 30, 1968 in Charlemagne, Quebec, Canada.
Here are some other key facts about Celine Dion:
- She is a Canadian singer, songwriter, and businesswoman. She is one of the most successful and influential pop singers of all time.
- She first gained international fame in the 1990s with her album "Falling Into You" and the theme song for the film Titanic, "My Heart Will Go On", which became one of the best-selling singles of all time.
- She has won numerous awards throughout her career, including 5 Grammy Awards, 2 Academy Awards, 7 American Music Awards, and 20 Juno Awards.
- She is the best-selling Canadian recording artist and the second best-selling female artist in history, having sold over 200 million albums worldwide.
- In addition to her music career, she has also ventured into acting, appearing in films like Titanic and The Making of Celine.
- She is known for her powerful, technically skilled vocals and her ability to perform a wide range of musical genres including pop, rock, R&amp;B, and classical.
- She has been married to her manager, René Angélil, since 1994. They have 3 children together.
- She has taken extended breaks from her music career at times to focus on her family and personal life.</v>
      </c>
      <c r="F85" s="24"/>
    </row>
    <row r="86" ht="8.25" customHeight="1">
      <c r="B86" s="25"/>
      <c r="F86" s="24"/>
    </row>
    <row r="87" ht="78.0" customHeight="1">
      <c r="B87" s="25"/>
      <c r="C87" s="99" t="s">
        <v>101</v>
      </c>
      <c r="D87" s="100" t="s">
        <v>93</v>
      </c>
      <c r="E87" s="99" t="str">
        <f>claudeMessages($C87,'Tutorial How-To'!$E$37,"temperature",0)</f>
        <v>⚠️=CLAUDEMESSAGES prompt should be in "User: ...
Assistant: ..." format, with "User: ..." first and a newline before each subsequent role. For newlines, press Ctrl/Cmd+Enter⚠️</v>
      </c>
      <c r="F87" s="24"/>
    </row>
    <row r="88" ht="78.0" customHeight="1">
      <c r="B88" s="25"/>
      <c r="C88" s="95"/>
      <c r="E88" s="95"/>
      <c r="F88" s="24"/>
    </row>
    <row r="89" ht="78.0" customHeight="1">
      <c r="B89" s="25"/>
      <c r="C89" s="96"/>
      <c r="E89" s="96"/>
      <c r="F89" s="24"/>
    </row>
    <row r="90" ht="8.25" customHeight="1">
      <c r="B90" s="25"/>
      <c r="F90" s="24"/>
    </row>
    <row r="91" ht="16.5" customHeight="1">
      <c r="A91" s="106"/>
      <c r="B91" s="108"/>
      <c r="C91" s="109" t="s">
        <v>105</v>
      </c>
      <c r="D91" s="108"/>
      <c r="E91" s="110" t="s">
        <v>91</v>
      </c>
      <c r="F91" s="106"/>
      <c r="G91" s="108"/>
    </row>
    <row r="92" ht="80.25" customHeight="1">
      <c r="A92" s="106"/>
      <c r="B92" s="111"/>
      <c r="C92" s="112" t="s">
        <v>106</v>
      </c>
      <c r="D92" s="113" t="s">
        <v>93</v>
      </c>
      <c r="E92" s="94" t="str">
        <f>claudeMessages($C96,'Tutorial How-To'!$E$37,"temperature",0, "system", C92)</f>
        <v>Here are some critical thinking questions to further explore why the sky appears blue:
- What is the composition of the Earth's atmosphere, and how does that affect the way light interacts with it?
- How do different wavelengths of light behave as they pass through the atmosphere?
- What is the process known as Rayleigh scattering, and how does it contribute to the blue appearance of the sky?
- How do factors like the time of day, weather conditions, and location affect the perceived color of the sky?
- What other celestial bodies or phenomena, like the sun or clouds, influence the appearance of the sky?
- How have our scientific understanding and theories about the sky's color changed over time?
- What are some alternative explanations or perspectives on why the sky appears blue?
Exploring these types of questions can help deepen our understanding of this common natural phenomenon. Let me know if you have any other thoughts or reflections on this topic.</v>
      </c>
      <c r="F92" s="106"/>
      <c r="G92" s="108"/>
    </row>
    <row r="93" ht="80.25" customHeight="1">
      <c r="A93" s="106"/>
      <c r="B93" s="108"/>
      <c r="C93" s="96"/>
      <c r="D93" s="114"/>
      <c r="E93" s="95"/>
      <c r="F93" s="106"/>
      <c r="G93" s="108"/>
    </row>
    <row r="94" ht="8.25" customHeight="1">
      <c r="A94" s="106"/>
      <c r="B94" s="108"/>
      <c r="C94" s="115"/>
      <c r="D94" s="114"/>
      <c r="E94" s="95"/>
      <c r="F94" s="106"/>
      <c r="G94" s="108"/>
    </row>
    <row r="95" ht="16.5" customHeight="1">
      <c r="A95" s="106"/>
      <c r="B95" s="108"/>
      <c r="C95" s="109" t="s">
        <v>90</v>
      </c>
      <c r="D95" s="114"/>
      <c r="E95" s="95"/>
      <c r="F95" s="106"/>
      <c r="G95" s="108"/>
    </row>
    <row r="96" ht="80.25" customHeight="1">
      <c r="A96" s="106"/>
      <c r="B96" s="111"/>
      <c r="C96" s="116" t="s">
        <v>107</v>
      </c>
      <c r="D96" s="114"/>
      <c r="E96" s="96"/>
      <c r="F96" s="106"/>
      <c r="G96" s="108"/>
    </row>
    <row r="97">
      <c r="B97" s="120"/>
      <c r="C97" s="65"/>
      <c r="D97" s="65"/>
      <c r="E97" s="65"/>
      <c r="F97" s="66"/>
    </row>
    <row r="99">
      <c r="B99" s="121" t="s">
        <v>112</v>
      </c>
      <c r="D99" s="122"/>
      <c r="E99" s="42" t="s">
        <v>110</v>
      </c>
    </row>
    <row r="100" ht="8.25" customHeight="1"/>
    <row r="101">
      <c r="B101" s="123" t="s">
        <v>80</v>
      </c>
    </row>
    <row r="102">
      <c r="B102" s="123" t="s">
        <v>113</v>
      </c>
    </row>
  </sheetData>
  <mergeCells count="56">
    <mergeCell ref="B1:E1"/>
    <mergeCell ref="B3:C3"/>
    <mergeCell ref="B8:D8"/>
    <mergeCell ref="E8:F8"/>
    <mergeCell ref="B9:F9"/>
    <mergeCell ref="B11:F11"/>
    <mergeCell ref="C14:E14"/>
    <mergeCell ref="B15:F15"/>
    <mergeCell ref="B17:F17"/>
    <mergeCell ref="B19:F19"/>
    <mergeCell ref="B21:D21"/>
    <mergeCell ref="E21:F21"/>
    <mergeCell ref="B22:F22"/>
    <mergeCell ref="B26:F26"/>
    <mergeCell ref="C27:C29"/>
    <mergeCell ref="D27:D29"/>
    <mergeCell ref="E27:E29"/>
    <mergeCell ref="B33:F33"/>
    <mergeCell ref="C36:C37"/>
    <mergeCell ref="D36:D37"/>
    <mergeCell ref="E36:E37"/>
    <mergeCell ref="B39:F39"/>
    <mergeCell ref="B44:F44"/>
    <mergeCell ref="D47:D49"/>
    <mergeCell ref="E47:E49"/>
    <mergeCell ref="B51:F51"/>
    <mergeCell ref="B53:F53"/>
    <mergeCell ref="B55:F55"/>
    <mergeCell ref="C47:C49"/>
    <mergeCell ref="C58:C59"/>
    <mergeCell ref="D58:D62"/>
    <mergeCell ref="E58:E62"/>
    <mergeCell ref="B64:F64"/>
    <mergeCell ref="B66:F66"/>
    <mergeCell ref="E68:F68"/>
    <mergeCell ref="B70:D70"/>
    <mergeCell ref="E70:F70"/>
    <mergeCell ref="B71:F71"/>
    <mergeCell ref="B75:F75"/>
    <mergeCell ref="D76:D78"/>
    <mergeCell ref="E76:E78"/>
    <mergeCell ref="B81:F81"/>
    <mergeCell ref="D87:D89"/>
    <mergeCell ref="D92:D96"/>
    <mergeCell ref="B99:C99"/>
    <mergeCell ref="E99:F99"/>
    <mergeCell ref="B101:F101"/>
    <mergeCell ref="B102:F102"/>
    <mergeCell ref="C76:C78"/>
    <mergeCell ref="C82:C83"/>
    <mergeCell ref="D82:D83"/>
    <mergeCell ref="E82:E83"/>
    <mergeCell ref="C87:C89"/>
    <mergeCell ref="E87:E89"/>
    <mergeCell ref="C92:C93"/>
    <mergeCell ref="E92:E96"/>
  </mergeCells>
  <hyperlinks>
    <hyperlink display="Lesson" location="C1Lesson" ref="C4"/>
    <hyperlink display="Examples" location="C1Examples" ref="C5"/>
    <hyperlink display="Example Playground" location="C1ExamplePlayground" ref="C6"/>
    <hyperlink display="Back to top ↑" location="C1LessonTitle" ref="E8"/>
    <hyperlink r:id="rId1" location="claude-functions" ref="B9"/>
    <hyperlink r:id="rId2" location="optional-function-parameters" ref="C14"/>
    <hyperlink display="Back to top ↑" location="C1LessonTitle" ref="E21"/>
    <hyperlink r:id="rId3" ref="B64"/>
    <hyperlink display="Chapter 1 Exercises: Basic Prompt Structure →" location="C1ExerciseTitle" ref="E68"/>
    <hyperlink display="Back to top ↑" location="C1LessonTitle" ref="E70"/>
    <hyperlink display="← Table of Contents" location="IntroTitle" ref="B99"/>
    <hyperlink display="Chapter 1 Exercises: Basic Prompt Structure →" location="C1ExerciseTitle" ref="E99"/>
    <hyperlink display="Back to top ↑" location="C1LessonTitle" ref="B101"/>
    <hyperlink display="Table of Contents" location="IntroTitle" ref="B10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42.38"/>
    <col customWidth="1" min="4" max="4" width="4.0"/>
    <col customWidth="1" min="5" max="5" width="48.5"/>
    <col customWidth="1" min="6" max="6" width="3.0"/>
    <col customWidth="1" min="7" max="7" width="5.5"/>
  </cols>
  <sheetData>
    <row r="1" ht="32.25" customHeight="1">
      <c r="A1" s="1"/>
      <c r="B1" s="2" t="s">
        <v>114</v>
      </c>
      <c r="F1" s="3"/>
      <c r="G1" s="3"/>
    </row>
    <row r="2" ht="21.75" customHeight="1"/>
    <row r="3" ht="21.75" customHeight="1">
      <c r="A3" s="23"/>
      <c r="B3" s="69" t="s">
        <v>76</v>
      </c>
    </row>
    <row r="4" ht="15.75" customHeight="1">
      <c r="A4" s="23"/>
      <c r="C4" s="70" t="s">
        <v>115</v>
      </c>
    </row>
    <row r="5" ht="15.75" customHeight="1">
      <c r="A5" s="23"/>
      <c r="C5" s="70" t="s">
        <v>116</v>
      </c>
    </row>
    <row r="6" ht="33.75" customHeight="1"/>
    <row r="7" ht="29.25" customHeight="1">
      <c r="A7" s="71"/>
      <c r="B7" s="72" t="s">
        <v>115</v>
      </c>
      <c r="C7" s="73"/>
      <c r="D7" s="73"/>
      <c r="E7" s="74" t="s">
        <v>80</v>
      </c>
      <c r="F7" s="75"/>
      <c r="G7" s="71"/>
    </row>
    <row r="8" ht="27.75" customHeight="1">
      <c r="B8" s="124" t="s">
        <v>117</v>
      </c>
      <c r="F8" s="12"/>
    </row>
    <row r="9" ht="11.25" customHeight="1">
      <c r="B9" s="125"/>
      <c r="C9" s="14"/>
      <c r="D9" s="14"/>
      <c r="E9" s="14"/>
      <c r="F9" s="17"/>
    </row>
    <row r="10">
      <c r="B10" s="89" t="s">
        <v>118</v>
      </c>
      <c r="F10" s="12"/>
    </row>
    <row r="11" ht="8.25" customHeight="1">
      <c r="B11" s="25"/>
      <c r="F11" s="24"/>
    </row>
    <row r="12" ht="15.75" customHeight="1">
      <c r="B12" s="25"/>
      <c r="C12" s="26" t="s">
        <v>90</v>
      </c>
      <c r="E12" s="26" t="s">
        <v>91</v>
      </c>
      <c r="F12" s="24"/>
    </row>
    <row r="13" ht="103.5" customHeight="1">
      <c r="B13" s="25"/>
      <c r="C13" s="126" t="s">
        <v>119</v>
      </c>
      <c r="D13" s="91" t="s">
        <v>93</v>
      </c>
      <c r="E13" s="105" t="str">
        <f>claudeMessages($C13,'Tutorial How-To'!$E$37,"temperature",0)</f>
        <v>1, 2, 3.</v>
      </c>
      <c r="F13" s="24"/>
    </row>
    <row r="14" ht="15.75" customHeight="1">
      <c r="B14" s="25"/>
      <c r="F14" s="24"/>
    </row>
    <row r="15" collapsed="1">
      <c r="B15" s="127" t="s">
        <v>120</v>
      </c>
      <c r="C15" s="128" t="s">
        <v>121</v>
      </c>
      <c r="F15" s="12"/>
    </row>
    <row r="16" hidden="1" outlineLevel="1">
      <c r="B16" s="129" t="s">
        <v>122</v>
      </c>
      <c r="F16" s="12"/>
    </row>
    <row r="17" ht="33.75" customHeight="1">
      <c r="B17" s="9"/>
      <c r="C17" s="9"/>
      <c r="D17" s="9"/>
      <c r="E17" s="9"/>
      <c r="F17" s="9"/>
    </row>
    <row r="18" ht="29.25" customHeight="1">
      <c r="B18" s="72" t="s">
        <v>116</v>
      </c>
      <c r="C18" s="73"/>
      <c r="D18" s="73"/>
      <c r="E18" s="74" t="s">
        <v>80</v>
      </c>
      <c r="F18" s="75"/>
    </row>
    <row r="19">
      <c r="B19" s="89" t="s">
        <v>123</v>
      </c>
      <c r="F19" s="12"/>
    </row>
    <row r="20" ht="11.25" customHeight="1">
      <c r="B20" s="77"/>
      <c r="C20" s="78"/>
      <c r="D20" s="78"/>
      <c r="E20" s="78"/>
      <c r="F20" s="79"/>
    </row>
    <row r="21">
      <c r="B21" s="89" t="s">
        <v>124</v>
      </c>
      <c r="F21" s="12"/>
    </row>
    <row r="22" ht="8.25" customHeight="1">
      <c r="B22" s="22"/>
      <c r="F22" s="24"/>
    </row>
    <row r="23">
      <c r="B23" s="25"/>
      <c r="C23" s="26" t="s">
        <v>105</v>
      </c>
      <c r="E23" s="26" t="s">
        <v>91</v>
      </c>
      <c r="F23" s="24"/>
    </row>
    <row r="24" ht="104.25" customHeight="1">
      <c r="B24" s="25"/>
      <c r="C24" s="130" t="s">
        <v>125</v>
      </c>
      <c r="D24" s="91" t="s">
        <v>93</v>
      </c>
      <c r="E24" s="131" t="str">
        <f>claudeMessages($C27,'Tutorial How-To'!$E$37,"temperature",0, "system", C24)</f>
        <v>*giggles* The sky is so big! It goes on and on, up and up! I can't even see the end of it. It's like a big blue blanket covering the whole world. I wonder what's up there? Maybe there are clouds that look like animals! *looks up and points excitedly* Oh, look, there's one that looks like a bunny!</v>
      </c>
      <c r="F24" s="24"/>
    </row>
    <row r="25" ht="8.25" customHeight="1">
      <c r="A25" s="106"/>
      <c r="B25" s="108"/>
      <c r="C25" s="115"/>
      <c r="E25" s="95"/>
      <c r="F25" s="106"/>
      <c r="G25" s="108"/>
    </row>
    <row r="26">
      <c r="B26" s="25"/>
      <c r="C26" s="26" t="s">
        <v>90</v>
      </c>
      <c r="E26" s="95"/>
      <c r="F26" s="24"/>
    </row>
    <row r="27" ht="82.5" customHeight="1">
      <c r="B27" s="25"/>
      <c r="C27" s="132" t="s">
        <v>126</v>
      </c>
      <c r="E27" s="95"/>
      <c r="F27" s="24"/>
    </row>
    <row r="28" ht="82.5" customHeight="1">
      <c r="B28" s="25"/>
      <c r="C28" s="96"/>
      <c r="E28" s="96"/>
      <c r="F28" s="24"/>
    </row>
    <row r="29" ht="15.75" customHeight="1">
      <c r="B29" s="25"/>
      <c r="F29" s="24"/>
    </row>
    <row r="30" collapsed="1">
      <c r="B30" s="127" t="s">
        <v>120</v>
      </c>
      <c r="C30" s="128" t="s">
        <v>121</v>
      </c>
      <c r="F30" s="12"/>
    </row>
    <row r="31" hidden="1" outlineLevel="1">
      <c r="B31" s="133" t="s">
        <v>127</v>
      </c>
      <c r="C31" s="49"/>
      <c r="D31" s="49"/>
      <c r="E31" s="49"/>
      <c r="F31" s="50"/>
    </row>
    <row r="32">
      <c r="B32" s="9"/>
      <c r="C32" s="9"/>
      <c r="D32" s="9"/>
      <c r="E32" s="9"/>
      <c r="F32" s="9"/>
    </row>
    <row r="33">
      <c r="B33" s="121" t="s">
        <v>128</v>
      </c>
      <c r="D33" s="122"/>
      <c r="E33" s="42" t="s">
        <v>129</v>
      </c>
    </row>
    <row r="34" ht="15.75" customHeight="1"/>
    <row r="35">
      <c r="B35" s="123" t="s">
        <v>80</v>
      </c>
    </row>
    <row r="36">
      <c r="B36" s="123" t="s">
        <v>113</v>
      </c>
    </row>
  </sheetData>
  <mergeCells count="21">
    <mergeCell ref="B1:E1"/>
    <mergeCell ref="B3:C3"/>
    <mergeCell ref="B7:D7"/>
    <mergeCell ref="E7:F7"/>
    <mergeCell ref="B8:F8"/>
    <mergeCell ref="B10:F10"/>
    <mergeCell ref="C15:F15"/>
    <mergeCell ref="C27:C28"/>
    <mergeCell ref="C30:F30"/>
    <mergeCell ref="B31:F31"/>
    <mergeCell ref="B33:C33"/>
    <mergeCell ref="E33:F33"/>
    <mergeCell ref="B35:F35"/>
    <mergeCell ref="B36:F36"/>
    <mergeCell ref="B16:F16"/>
    <mergeCell ref="B18:D18"/>
    <mergeCell ref="E18:F18"/>
    <mergeCell ref="B19:F19"/>
    <mergeCell ref="B21:F21"/>
    <mergeCell ref="D24:D28"/>
    <mergeCell ref="E24:E28"/>
  </mergeCells>
  <conditionalFormatting sqref="E13">
    <cfRule type="expression" dxfId="0" priority="1">
      <formula>AND(REGEXMATCH(E13,"1"), REGEXMATCH(E13,"2"), REGEXMATCH(E13,"3"))</formula>
    </cfRule>
  </conditionalFormatting>
  <conditionalFormatting sqref="E24:E25">
    <cfRule type="expression" dxfId="0" priority="2">
      <formula>OR(ISNUMBER(SEARCH("*giggles*",E24)),ISNUMBER(SEARCH("soo",E24)))</formula>
    </cfRule>
  </conditionalFormatting>
  <conditionalFormatting sqref="E22:E23">
    <cfRule type="containsText" dxfId="0" priority="3" operator="containsText" text="blue">
      <formula>NOT(ISERROR(SEARCH(("blue"),(E22))))</formula>
    </cfRule>
  </conditionalFormatting>
  <hyperlinks>
    <hyperlink display="Exercise 1.1 - Counting to Three" location="C1Exercise1" ref="C4"/>
    <hyperlink display="Exercise 1.2 - System Prompt" location="C1Exercise2" ref="C5"/>
    <hyperlink display="Back to top ↑" location="C1ExerciseTitle" ref="E7"/>
    <hyperlink display="Back to top ↑" location="C1ExerciseTitle" ref="E18"/>
    <hyperlink display="← Chapter 1: Basic Prompt Structure" location="C1LessonTitle" ref="B33"/>
    <hyperlink display="Chapter 2: Being Clear and Direct →" location="C2LessonTitle" ref="E33"/>
    <hyperlink display="Back to top ↑" location="C1ExerciseTitle" ref="B35"/>
    <hyperlink display="Table of Contents" location="IntroTitle" ref="B36"/>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34"/>
      <c r="B1" s="135" t="s">
        <v>55</v>
      </c>
      <c r="F1" s="136"/>
      <c r="G1" s="136"/>
    </row>
    <row r="2" ht="21.75" customHeight="1">
      <c r="A2" s="108"/>
      <c r="B2" s="108"/>
      <c r="C2" s="108"/>
      <c r="D2" s="108"/>
      <c r="E2" s="108"/>
      <c r="F2" s="108"/>
      <c r="G2" s="108"/>
    </row>
    <row r="3" ht="21.75" customHeight="1">
      <c r="A3" s="137"/>
      <c r="B3" s="138" t="s">
        <v>76</v>
      </c>
      <c r="D3" s="108"/>
      <c r="E3" s="108"/>
      <c r="F3" s="108"/>
      <c r="G3" s="108"/>
    </row>
    <row r="4" ht="15.75" customHeight="1">
      <c r="A4" s="137"/>
      <c r="B4" s="108"/>
      <c r="C4" s="139" t="s">
        <v>53</v>
      </c>
      <c r="D4" s="108"/>
      <c r="E4" s="108"/>
      <c r="F4" s="108"/>
      <c r="G4" s="108"/>
    </row>
    <row r="5" ht="15.75" customHeight="1">
      <c r="A5" s="137"/>
      <c r="B5" s="108"/>
      <c r="C5" s="139" t="s">
        <v>77</v>
      </c>
      <c r="D5" s="108"/>
      <c r="E5" s="108"/>
      <c r="F5" s="108"/>
      <c r="G5" s="108"/>
    </row>
    <row r="6" ht="15.75" customHeight="1">
      <c r="A6" s="137" t="s">
        <v>78</v>
      </c>
      <c r="B6" s="108"/>
      <c r="C6" s="139" t="s">
        <v>79</v>
      </c>
      <c r="D6" s="108"/>
      <c r="E6" s="108"/>
      <c r="F6" s="108"/>
      <c r="G6" s="108"/>
    </row>
    <row r="7" ht="33.75" customHeight="1">
      <c r="A7" s="108"/>
      <c r="B7" s="140"/>
      <c r="C7" s="140"/>
      <c r="D7" s="140"/>
      <c r="E7" s="140"/>
      <c r="F7" s="140"/>
      <c r="G7" s="108"/>
    </row>
    <row r="8" ht="29.25" customHeight="1">
      <c r="A8" s="141"/>
      <c r="B8" s="142" t="s">
        <v>53</v>
      </c>
      <c r="E8" s="143" t="s">
        <v>80</v>
      </c>
      <c r="F8" s="12"/>
      <c r="G8" s="144"/>
    </row>
    <row r="9">
      <c r="A9" s="106"/>
      <c r="B9" s="145" t="s">
        <v>130</v>
      </c>
      <c r="F9" s="12"/>
      <c r="G9" s="108"/>
    </row>
    <row r="10" ht="11.25" customHeight="1">
      <c r="A10" s="106"/>
      <c r="B10" s="137"/>
      <c r="C10" s="137"/>
      <c r="D10" s="137"/>
      <c r="E10" s="137"/>
      <c r="F10" s="146"/>
      <c r="G10" s="108"/>
    </row>
    <row r="11">
      <c r="A11" s="106"/>
      <c r="B11" s="147" t="s">
        <v>131</v>
      </c>
      <c r="C11" s="49"/>
      <c r="D11" s="49"/>
      <c r="E11" s="49"/>
      <c r="F11" s="50"/>
      <c r="G11" s="108"/>
    </row>
    <row r="12" ht="33.75" customHeight="1">
      <c r="A12" s="108"/>
      <c r="B12" s="140"/>
      <c r="C12" s="140"/>
      <c r="D12" s="140"/>
      <c r="E12" s="140"/>
      <c r="F12" s="140"/>
      <c r="G12" s="108"/>
    </row>
    <row r="13" ht="29.25" customHeight="1">
      <c r="A13" s="106"/>
      <c r="B13" s="142" t="s">
        <v>77</v>
      </c>
      <c r="E13" s="143" t="s">
        <v>80</v>
      </c>
      <c r="F13" s="12"/>
      <c r="G13" s="108"/>
    </row>
    <row r="14">
      <c r="A14" s="106"/>
      <c r="B14" s="148" t="s">
        <v>132</v>
      </c>
      <c r="F14" s="12"/>
      <c r="G14" s="108"/>
    </row>
    <row r="15" ht="8.25" customHeight="1">
      <c r="A15" s="106"/>
      <c r="B15" s="137"/>
      <c r="C15" s="108"/>
      <c r="D15" s="108"/>
      <c r="E15" s="108"/>
      <c r="F15" s="106"/>
      <c r="G15" s="108"/>
    </row>
    <row r="16">
      <c r="A16" s="106"/>
      <c r="B16" s="108"/>
      <c r="C16" s="149" t="s">
        <v>90</v>
      </c>
      <c r="D16" s="108"/>
      <c r="E16" s="149" t="s">
        <v>91</v>
      </c>
      <c r="F16" s="106"/>
      <c r="G16" s="108"/>
    </row>
    <row r="17" ht="65.25" customHeight="1">
      <c r="A17" s="106"/>
      <c r="B17" s="111"/>
      <c r="C17" s="150" t="s">
        <v>133</v>
      </c>
      <c r="D17" s="151" t="s">
        <v>93</v>
      </c>
      <c r="E17" s="152" t="str">
        <f>claudeMessages($C17,'Tutorial How-To'!$E$37,"temperature",0)</f>
        <v>Here is a haiku about robots:
Metallic beings
Programmed to serve and obey
Artificial life</v>
      </c>
      <c r="F17" s="106"/>
      <c r="G17" s="108"/>
    </row>
    <row r="18" ht="22.5" customHeight="1">
      <c r="A18" s="106"/>
      <c r="B18" s="108"/>
      <c r="C18" s="108"/>
      <c r="D18" s="108"/>
      <c r="E18" s="108"/>
      <c r="F18" s="106"/>
      <c r="G18" s="108"/>
    </row>
    <row r="19">
      <c r="A19" s="106"/>
      <c r="B19" s="153" t="s">
        <v>134</v>
      </c>
      <c r="F19" s="12"/>
      <c r="G19" s="108"/>
    </row>
    <row r="20" ht="8.25" customHeight="1">
      <c r="A20" s="106"/>
      <c r="B20" s="108"/>
      <c r="C20" s="108"/>
      <c r="D20" s="108"/>
      <c r="E20" s="108"/>
      <c r="F20" s="106"/>
      <c r="G20" s="108"/>
    </row>
    <row r="21">
      <c r="A21" s="106"/>
      <c r="B21" s="108"/>
      <c r="C21" s="149" t="s">
        <v>90</v>
      </c>
      <c r="D21" s="108"/>
      <c r="E21" s="149" t="s">
        <v>91</v>
      </c>
      <c r="F21" s="106"/>
      <c r="G21" s="108"/>
    </row>
    <row r="22" ht="77.25" customHeight="1">
      <c r="A22" s="106"/>
      <c r="B22" s="111"/>
      <c r="C22" s="150" t="s">
        <v>135</v>
      </c>
      <c r="D22" s="154" t="s">
        <v>93</v>
      </c>
      <c r="E22" s="152" t="str">
        <f>claudeMessages($C22,'Tutorial How-To'!$E$37,"temperature",0)</f>
        <v>Metallic beings,
Programmed to serve and obey,
Robots, our creations.</v>
      </c>
      <c r="F22" s="106"/>
      <c r="G22" s="108"/>
    </row>
    <row r="23" ht="22.5" customHeight="1">
      <c r="A23" s="106"/>
      <c r="B23" s="108"/>
      <c r="C23" s="108"/>
      <c r="D23" s="108"/>
      <c r="E23" s="108"/>
      <c r="F23" s="106"/>
      <c r="G23" s="108"/>
    </row>
    <row r="24">
      <c r="A24" s="106"/>
      <c r="B24" s="148" t="s">
        <v>136</v>
      </c>
      <c r="F24" s="12"/>
      <c r="G24" s="108"/>
    </row>
    <row r="25" ht="8.25" customHeight="1">
      <c r="A25" s="106"/>
      <c r="B25" s="108"/>
      <c r="C25" s="108"/>
      <c r="D25" s="108"/>
      <c r="E25" s="108"/>
      <c r="F25" s="106"/>
      <c r="G25" s="108"/>
    </row>
    <row r="26">
      <c r="A26" s="106"/>
      <c r="B26" s="108"/>
      <c r="C26" s="149" t="s">
        <v>90</v>
      </c>
      <c r="D26" s="108"/>
      <c r="E26" s="149" t="s">
        <v>91</v>
      </c>
      <c r="F26" s="106"/>
      <c r="G26" s="108"/>
    </row>
    <row r="27" ht="153.75" customHeight="1">
      <c r="A27" s="106"/>
      <c r="B27" s="111"/>
      <c r="C27" s="155" t="s">
        <v>137</v>
      </c>
      <c r="D27" s="154" t="s">
        <v>93</v>
      </c>
      <c r="E27" s="156" t="str">
        <f>claudeMessages($C27,'Tutorial How-To'!$E$37,"temperature",0)</f>
        <v>There is no universally agreed upon "best basketball player of all time." It's a highly debated topic, as there have been many all-time great players throughout the history of the sport. Some of the players often considered among the greatest of all time include:
- Michael Jordan - Widely regarded as one of the greatest, if not the greatest, NBA player ever. He won 6 NBA championships with the Chicago Bulls.
- LeBron James - One of the most dominant and well-rounded players of the modern era. He has won 4 NBA titles with 3 different teams.
- Kareem Abdul-Jabbar - Legendary center who won 6 NBA championships and holds the record for most career points scored.
- Wilt Chamberlain - Dominant big man who holds numerous NBA records including most points in a game (100).
- Magic Johnson - Pioneering point guard who led the "Showtime" Lakers to 5 NBA titles.
- Bill Russell - Defensive anchor and 11-time NBA champion with the Boston Celtics.
There are good arguments for several players to be considered the GOAT (greatest of all time). It often comes down to personal preference and how one values different skills, accomplishments, and eras of the game. The debate continues among basketball fans and experts.</v>
      </c>
      <c r="F27" s="106"/>
      <c r="G27" s="108"/>
    </row>
    <row r="28" ht="153.75" customHeight="1">
      <c r="A28" s="106"/>
      <c r="B28" s="111"/>
      <c r="C28" s="157"/>
      <c r="D28" s="158"/>
      <c r="E28" s="96"/>
      <c r="F28" s="106"/>
      <c r="G28" s="108"/>
    </row>
    <row r="29">
      <c r="A29" s="106"/>
      <c r="B29" s="137"/>
      <c r="C29" s="137"/>
      <c r="D29" s="137"/>
      <c r="E29" s="137"/>
      <c r="F29" s="146"/>
      <c r="G29" s="108"/>
    </row>
    <row r="30">
      <c r="A30" s="106"/>
      <c r="B30" s="159" t="s">
        <v>138</v>
      </c>
      <c r="F30" s="12"/>
      <c r="G30" s="108"/>
    </row>
    <row r="31" ht="8.25" customHeight="1">
      <c r="A31" s="106"/>
      <c r="B31" s="108"/>
      <c r="C31" s="108"/>
      <c r="D31" s="108"/>
      <c r="E31" s="108"/>
      <c r="F31" s="106"/>
      <c r="G31" s="108"/>
    </row>
    <row r="32">
      <c r="A32" s="106"/>
      <c r="B32" s="108"/>
      <c r="C32" s="149" t="s">
        <v>90</v>
      </c>
      <c r="D32" s="137"/>
      <c r="E32" s="110" t="s">
        <v>91</v>
      </c>
      <c r="F32" s="106"/>
      <c r="G32" s="108"/>
    </row>
    <row r="33" ht="123.0" customHeight="1">
      <c r="A33" s="106"/>
      <c r="B33" s="111"/>
      <c r="C33" s="160" t="s">
        <v>139</v>
      </c>
      <c r="D33" s="161" t="s">
        <v>93</v>
      </c>
      <c r="E33" s="162" t="str">
        <f>claudeMessages($C33,'Tutorial How-To'!$E$37,"temperature",0)</f>
        <v>There is no definitive consensus on who the single "best basketball player of all time" is, as it is a highly subjective and debatable topic. However, if I had to choose one player, the one who is most commonly cited as the GOAT (Greatest of All Time) is Michael Jordan.
Some key reasons why Michael Jordan is often considered the best basketball player ever:
- Dominant statistical career - Jordan is one of the most prolific scorers in NBA history, averaging 30.1 points per game over his career. He also excelled in other areas like rebounds, assists, steals.
- Unparalleled individual accolades - 6 NBA championships, 6 NBA Finals MVPs, 5 regular season MVPs, 10 scoring titles, 9 All-Defensive First Team selections.
- Transformative impact on the game - Jordan's style of play, competitiveness, and global popularity helped take the NBA to new heights in popularity and commercialization.
- Sustained excellence over his prime years - Jordan was dominant for over a decade, winning 6 titles in 8 seasons during the 1990s.
While other all-time greats like LeBron James, Kareem Abdul-Jabbar, and Wilt Chamberlain have strong cases, Michael Jordan's combination of individual brilliance, team success, and cultural impact make him the player most often cited as the best basketball player of all time. But reasonable people can debate this topic.</v>
      </c>
      <c r="F33" s="106"/>
      <c r="G33" s="108"/>
    </row>
    <row r="34" ht="123.0" customHeight="1">
      <c r="A34" s="106"/>
      <c r="B34" s="163"/>
      <c r="C34" s="114"/>
      <c r="D34" s="164"/>
      <c r="E34" s="95"/>
      <c r="F34" s="146"/>
      <c r="G34" s="108"/>
    </row>
    <row r="35" ht="123.0" customHeight="1">
      <c r="A35" s="106"/>
      <c r="B35" s="111"/>
      <c r="C35" s="157"/>
      <c r="D35" s="158"/>
      <c r="E35" s="96"/>
      <c r="F35" s="106"/>
      <c r="G35" s="108"/>
    </row>
    <row r="36" ht="15.75" customHeight="1">
      <c r="A36" s="106"/>
      <c r="B36" s="108"/>
      <c r="C36" s="108"/>
      <c r="D36" s="108"/>
      <c r="E36" s="137"/>
      <c r="F36" s="146"/>
      <c r="G36" s="108"/>
    </row>
    <row r="37" ht="33.75" customHeight="1">
      <c r="A37" s="106"/>
      <c r="B37" s="165" t="s">
        <v>140</v>
      </c>
      <c r="C37" s="49"/>
      <c r="D37" s="49"/>
      <c r="E37" s="49"/>
      <c r="F37" s="50"/>
      <c r="G37" s="108"/>
    </row>
    <row r="38" ht="15.75" customHeight="1">
      <c r="A38" s="108"/>
      <c r="B38" s="137"/>
      <c r="C38" s="137"/>
      <c r="D38" s="137"/>
      <c r="E38" s="137"/>
      <c r="F38" s="137"/>
      <c r="G38" s="108"/>
    </row>
    <row r="39">
      <c r="A39" s="108"/>
      <c r="B39" s="137"/>
      <c r="C39" s="137"/>
      <c r="D39" s="137"/>
      <c r="E39" s="166" t="s">
        <v>141</v>
      </c>
      <c r="G39" s="108"/>
    </row>
    <row r="40" ht="29.25" customHeight="1">
      <c r="A40" s="108"/>
      <c r="B40" s="137"/>
      <c r="C40" s="137"/>
      <c r="D40" s="137"/>
      <c r="E40" s="137"/>
      <c r="F40" s="137"/>
      <c r="G40" s="108"/>
    </row>
    <row r="41">
      <c r="A41" s="106"/>
      <c r="B41" s="167" t="s">
        <v>79</v>
      </c>
      <c r="C41" s="168"/>
      <c r="D41" s="168"/>
      <c r="E41" s="169" t="s">
        <v>80</v>
      </c>
      <c r="F41" s="170"/>
      <c r="G41" s="108"/>
    </row>
    <row r="42" ht="71.25" customHeight="1">
      <c r="A42" s="106"/>
      <c r="B42" s="171" t="s">
        <v>142</v>
      </c>
      <c r="F42" s="12"/>
      <c r="G42" s="108"/>
    </row>
    <row r="43" ht="8.25" customHeight="1">
      <c r="A43" s="106"/>
      <c r="B43" s="108"/>
      <c r="C43" s="108"/>
      <c r="D43" s="108"/>
      <c r="E43" s="108"/>
      <c r="F43" s="106"/>
      <c r="G43" s="108"/>
    </row>
    <row r="44">
      <c r="A44" s="106"/>
      <c r="B44" s="108"/>
      <c r="C44" s="149" t="s">
        <v>90</v>
      </c>
      <c r="D44" s="137"/>
      <c r="E44" s="110" t="s">
        <v>91</v>
      </c>
      <c r="F44" s="106"/>
      <c r="G44" s="108"/>
    </row>
    <row r="45" ht="65.25" customHeight="1">
      <c r="A45" s="106"/>
      <c r="B45" s="111"/>
      <c r="C45" s="150" t="s">
        <v>133</v>
      </c>
      <c r="D45" s="151" t="s">
        <v>93</v>
      </c>
      <c r="E45" s="152" t="str">
        <f>claudeMessages($C45,'Tutorial How-To'!$E$37,"temperature",0)</f>
        <v>Here is a haiku about robots:
Metallic beings
Programmed to serve and obey
Artificial life</v>
      </c>
      <c r="F45" s="106"/>
      <c r="G45" s="108"/>
    </row>
    <row r="46" ht="8.25" customHeight="1">
      <c r="A46" s="106"/>
      <c r="B46" s="108"/>
      <c r="C46" s="108"/>
      <c r="D46" s="108"/>
      <c r="E46" s="108"/>
      <c r="F46" s="106"/>
      <c r="G46" s="108"/>
    </row>
    <row r="47" ht="77.25" customHeight="1">
      <c r="A47" s="106"/>
      <c r="B47" s="111"/>
      <c r="C47" s="150" t="s">
        <v>135</v>
      </c>
      <c r="D47" s="154" t="s">
        <v>93</v>
      </c>
      <c r="E47" s="152" t="str">
        <f>claudeMessages($C47,'Tutorial How-To'!$E$37,"temperature",0)</f>
        <v>Metallic beings,
Programmed to serve and obey,
Robots, our creations.</v>
      </c>
      <c r="F47" s="106"/>
      <c r="G47" s="108"/>
    </row>
    <row r="48" ht="8.25" customHeight="1">
      <c r="A48" s="106"/>
      <c r="B48" s="108"/>
      <c r="C48" s="108"/>
      <c r="D48" s="108"/>
      <c r="E48" s="108"/>
      <c r="F48" s="106"/>
      <c r="G48" s="108"/>
    </row>
    <row r="49" ht="153.75" customHeight="1">
      <c r="A49" s="106"/>
      <c r="B49" s="111"/>
      <c r="C49" s="155" t="s">
        <v>137</v>
      </c>
      <c r="D49" s="154" t="s">
        <v>93</v>
      </c>
      <c r="E49" s="172" t="str">
        <f>claudeMessages($C49,'Tutorial How-To'!$E$37,"temperature",0)</f>
        <v>There is no universally agreed upon "best basketball player of all time." It's a highly debated topic, as there have been many all-time great players throughout the history of the sport. Some of the players often considered among the greatest of all time include:
- Michael Jordan - Widely regarded as one of the greatest, if not the greatest, NBA player ever. He won 6 NBA championships with the Chicago Bulls.
- LeBron James - One of the most dominant and well-rounded players of the modern era. He has won 4 NBA titles with 3 different teams.
- Kareem Abdul-Jabbar - Legendary center who won 6 NBA championships and holds the record for most career points scored.
- Wilt Chamberlain - Dominant big man who holds numerous NBA records including most points in a game (100).
- Magic Johnson - Pioneering point guard who led the "Showtime" Lakers to 5 NBA titles.
- Bill Russell - Defensive anchor and 11-time NBA champion with the Boston Celtics.
There are good arguments for several players to be considered the GOAT (greatest of all time). It often comes down to personal preference and how one values different skills, accomplishments, and eras of the game. The debate continues among basketball fans and experts.</v>
      </c>
      <c r="F49" s="106"/>
      <c r="G49" s="108"/>
    </row>
    <row r="50" ht="153.75" customHeight="1">
      <c r="A50" s="106"/>
      <c r="B50" s="111"/>
      <c r="C50" s="157"/>
      <c r="D50" s="158"/>
      <c r="E50" s="157"/>
      <c r="F50" s="106"/>
      <c r="G50" s="108"/>
    </row>
    <row r="51">
      <c r="A51" s="106"/>
      <c r="B51" s="137"/>
      <c r="C51" s="173"/>
      <c r="D51" s="137"/>
      <c r="E51" s="173"/>
      <c r="F51" s="146"/>
      <c r="G51" s="108"/>
    </row>
    <row r="52" ht="123.0" customHeight="1">
      <c r="A52" s="106"/>
      <c r="B52" s="111"/>
      <c r="C52" s="160" t="s">
        <v>139</v>
      </c>
      <c r="D52" s="161" t="s">
        <v>93</v>
      </c>
      <c r="E52" s="174" t="str">
        <f>claudeMessages($C52,'Tutorial How-To'!$E$37,"temperature",0)</f>
        <v>There is no definitive consensus on who the single "best basketball player of all time" is, as it is a highly subjective and debatable topic. However, if I had to choose one player, the one who is most commonly cited as the GOAT (Greatest of All Time) is Michael Jordan.
Some key reasons why Michael Jordan is often considered the best basketball player ever:
- Dominant statistical career - Jordan is one of the most prolific scorers in NBA history, averaging 30.1 points per game over his career. He also excelled in other areas like rebounds, assists, steals.
- Unparalleled individual accolades - 6 NBA championships, 6 NBA Finals MVPs, 5 regular season MVPs, 10 scoring titles, 9 All-Defensive First Team selections.
- Transformative impact on the game - Jordan's style of play, competitiveness, and global popularity helped take the NBA to new heights in popularity and commercialization.
- Sustained excellence over his prime years - Jordan was dominant for over a decade, winning 6 titles in 8 seasons during the 1990s.
While other all-time greats like LeBron James, Kareem Abdul-Jabbar, and Wilt Chamberlain have strong cases, Michael Jordan's combination of individual brilliance, team success, and cultural impact make him the player most often cited as the best basketball player of all time. But reasonable people can debate this topic.</v>
      </c>
      <c r="F52" s="106"/>
      <c r="G52" s="108"/>
    </row>
    <row r="53" ht="123.0" customHeight="1">
      <c r="A53" s="106"/>
      <c r="B53" s="163"/>
      <c r="C53" s="114"/>
      <c r="D53" s="164"/>
      <c r="E53" s="114"/>
      <c r="F53" s="146"/>
      <c r="G53" s="108"/>
    </row>
    <row r="54" ht="123.0" customHeight="1">
      <c r="A54" s="106"/>
      <c r="B54" s="111"/>
      <c r="C54" s="157"/>
      <c r="D54" s="158"/>
      <c r="E54" s="157"/>
      <c r="F54" s="106"/>
      <c r="G54" s="108"/>
    </row>
    <row r="55">
      <c r="A55" s="106"/>
      <c r="B55" s="140"/>
      <c r="C55" s="140"/>
      <c r="D55" s="140"/>
      <c r="E55" s="140"/>
      <c r="F55" s="175"/>
      <c r="G55" s="108"/>
    </row>
    <row r="56">
      <c r="A56" s="108"/>
      <c r="B56" s="108"/>
      <c r="C56" s="108"/>
      <c r="D56" s="108"/>
      <c r="E56" s="108"/>
      <c r="F56" s="108"/>
      <c r="G56" s="108"/>
    </row>
    <row r="57">
      <c r="A57" s="108"/>
      <c r="B57" s="176" t="s">
        <v>143</v>
      </c>
      <c r="E57" s="177" t="s">
        <v>141</v>
      </c>
      <c r="G57" s="108"/>
    </row>
    <row r="58">
      <c r="A58" s="108"/>
      <c r="B58" s="108"/>
      <c r="C58" s="108"/>
      <c r="D58" s="108"/>
      <c r="E58" s="108"/>
      <c r="F58" s="108"/>
      <c r="G58" s="108"/>
    </row>
    <row r="59">
      <c r="A59" s="108"/>
      <c r="B59" s="178" t="s">
        <v>80</v>
      </c>
      <c r="G59" s="108"/>
    </row>
    <row r="60">
      <c r="A60" s="108"/>
      <c r="B60" s="178" t="s">
        <v>113</v>
      </c>
      <c r="G60" s="108"/>
    </row>
    <row r="61">
      <c r="A61" s="108"/>
      <c r="B61" s="108"/>
      <c r="C61" s="108"/>
      <c r="D61" s="108"/>
      <c r="E61" s="108"/>
      <c r="F61" s="108"/>
      <c r="G61" s="108"/>
    </row>
    <row r="62">
      <c r="A62" s="108"/>
      <c r="B62" s="108"/>
      <c r="C62" s="108"/>
      <c r="D62" s="108"/>
      <c r="E62" s="108"/>
      <c r="F62" s="108"/>
      <c r="G62" s="108"/>
    </row>
    <row r="63">
      <c r="A63" s="108"/>
      <c r="B63" s="108"/>
      <c r="C63" s="108"/>
      <c r="D63" s="108"/>
      <c r="E63" s="108"/>
      <c r="F63" s="108"/>
      <c r="G63" s="108"/>
    </row>
    <row r="64">
      <c r="A64" s="108"/>
      <c r="B64" s="108"/>
      <c r="C64" s="108"/>
      <c r="D64" s="108"/>
      <c r="E64" s="108"/>
      <c r="F64" s="108"/>
      <c r="G64" s="108"/>
    </row>
  </sheetData>
  <mergeCells count="29">
    <mergeCell ref="B1:E1"/>
    <mergeCell ref="B3:C3"/>
    <mergeCell ref="B8:D8"/>
    <mergeCell ref="E8:F8"/>
    <mergeCell ref="B9:F9"/>
    <mergeCell ref="B11:F11"/>
    <mergeCell ref="E13:F13"/>
    <mergeCell ref="B13:D13"/>
    <mergeCell ref="B14:F14"/>
    <mergeCell ref="B19:F19"/>
    <mergeCell ref="B24:F24"/>
    <mergeCell ref="C27:C28"/>
    <mergeCell ref="E27:E28"/>
    <mergeCell ref="B30:F30"/>
    <mergeCell ref="C49:C50"/>
    <mergeCell ref="E49:E50"/>
    <mergeCell ref="C52:C54"/>
    <mergeCell ref="E52:E54"/>
    <mergeCell ref="B57:D57"/>
    <mergeCell ref="E57:F57"/>
    <mergeCell ref="B59:F59"/>
    <mergeCell ref="B60:F60"/>
    <mergeCell ref="C33:C35"/>
    <mergeCell ref="E33:E35"/>
    <mergeCell ref="B37:F37"/>
    <mergeCell ref="E39:F39"/>
    <mergeCell ref="B41:D41"/>
    <mergeCell ref="E41:F41"/>
    <mergeCell ref="B42:F42"/>
  </mergeCells>
  <hyperlinks>
    <hyperlink display="Lesson" location="C2Lesson" ref="C4"/>
    <hyperlink display="Examples" location="C2Examples" ref="C5"/>
    <hyperlink display="Example Playground" location="C2ExamplePlayground" ref="C6"/>
    <hyperlink display="Back to top ↑" location="C2LessonTitle" ref="E8"/>
    <hyperlink display="Back to top ↑" location="C2LessonTitle" ref="E13"/>
    <hyperlink display="Chapter 2 Exercises: Being Clear and Direct →" location="C2ExerciseTitle" ref="E39"/>
    <hyperlink display="Back to top ↑" location="C2LessonTitle" ref="E41"/>
    <hyperlink display="← Chapter 1 Exercises: Basic Prompt Structure" location="C1ExerciseTitle" ref="B57"/>
    <hyperlink display="Chapter 2 Exercises: Being Clear and Direct →" location="C2ExerciseTitle" ref="E57"/>
    <hyperlink display="Back to top ↑" location="C2LessonTitle" ref="B59"/>
    <hyperlink display="Table of Contents" location="IntroTitle" ref="B60"/>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144</v>
      </c>
      <c r="F1" s="3"/>
      <c r="G1" s="3"/>
    </row>
    <row r="2" ht="21.75" customHeight="1"/>
    <row r="3" ht="21.75" customHeight="1">
      <c r="A3" s="23"/>
      <c r="B3" s="69" t="s">
        <v>76</v>
      </c>
    </row>
    <row r="4" ht="15.75" customHeight="1">
      <c r="A4" s="23"/>
      <c r="C4" s="70" t="s">
        <v>145</v>
      </c>
    </row>
    <row r="5" ht="15.75" customHeight="1">
      <c r="A5" s="23"/>
      <c r="C5" s="70" t="s">
        <v>146</v>
      </c>
    </row>
    <row r="6" ht="15.75" customHeight="1">
      <c r="A6" s="23" t="s">
        <v>78</v>
      </c>
      <c r="C6" s="70" t="s">
        <v>147</v>
      </c>
    </row>
    <row r="7" ht="33.75" customHeight="1"/>
    <row r="8" ht="29.25" customHeight="1">
      <c r="A8" s="71"/>
      <c r="B8" s="72" t="s">
        <v>145</v>
      </c>
      <c r="C8" s="73"/>
      <c r="D8" s="73"/>
      <c r="E8" s="74" t="s">
        <v>80</v>
      </c>
      <c r="F8" s="75"/>
      <c r="G8" s="71"/>
    </row>
    <row r="9">
      <c r="B9" s="80" t="s">
        <v>148</v>
      </c>
      <c r="F9" s="12"/>
    </row>
    <row r="10" ht="8.25" customHeight="1">
      <c r="B10" s="25"/>
      <c r="F10" s="24"/>
    </row>
    <row r="11" ht="15.75" customHeight="1">
      <c r="B11" s="25"/>
      <c r="C11" s="26" t="s">
        <v>105</v>
      </c>
      <c r="E11" s="26" t="s">
        <v>91</v>
      </c>
      <c r="F11" s="24"/>
    </row>
    <row r="12" ht="75.75" customHeight="1">
      <c r="B12" s="25"/>
      <c r="C12" s="130" t="s">
        <v>149</v>
      </c>
      <c r="D12" s="91" t="s">
        <v>93</v>
      </c>
      <c r="E12" s="99" t="str">
        <f>claudeMessages($C15,'Tutorial How-To'!$E$37,"temperature",0,"system",$C12)</f>
        <v>¡Hola! Estoy bien, gracias por preguntar. Como asistente de IA en español, estoy aquí para ayudarte con lo que necesites. ¿En qué puedo asistirte?</v>
      </c>
      <c r="F12" s="24"/>
    </row>
    <row r="13" ht="8.25" customHeight="1">
      <c r="B13" s="25"/>
      <c r="E13" s="95"/>
      <c r="F13" s="24"/>
    </row>
    <row r="14" ht="15.75" customHeight="1">
      <c r="B14" s="25"/>
      <c r="C14" s="26" t="s">
        <v>90</v>
      </c>
      <c r="E14" s="95"/>
      <c r="F14" s="24"/>
    </row>
    <row r="15" ht="75.75" customHeight="1">
      <c r="B15" s="25"/>
      <c r="C15" s="90" t="s">
        <v>150</v>
      </c>
      <c r="E15" s="96"/>
      <c r="F15" s="24"/>
    </row>
    <row r="16" ht="15.75" customHeight="1">
      <c r="B16" s="25"/>
      <c r="F16" s="24"/>
    </row>
    <row r="17" collapsed="1">
      <c r="B17" s="127" t="s">
        <v>120</v>
      </c>
      <c r="C17" s="128" t="s">
        <v>121</v>
      </c>
      <c r="F17" s="12"/>
    </row>
    <row r="18" hidden="1" outlineLevel="1">
      <c r="B18" s="129" t="s">
        <v>151</v>
      </c>
      <c r="F18" s="12"/>
    </row>
    <row r="19" ht="33.75" customHeight="1">
      <c r="B19" s="9"/>
      <c r="C19" s="9"/>
      <c r="D19" s="9"/>
      <c r="E19" s="9"/>
      <c r="F19" s="9"/>
    </row>
    <row r="20" ht="29.25" customHeight="1">
      <c r="A20" s="71"/>
      <c r="B20" s="72" t="s">
        <v>146</v>
      </c>
      <c r="C20" s="73"/>
      <c r="D20" s="73"/>
      <c r="E20" s="74" t="s">
        <v>80</v>
      </c>
      <c r="F20" s="75"/>
      <c r="G20" s="71"/>
    </row>
    <row r="21">
      <c r="B21" s="80" t="s">
        <v>152</v>
      </c>
      <c r="F21" s="12"/>
    </row>
    <row r="22" ht="8.25" customHeight="1">
      <c r="B22" s="25"/>
      <c r="F22" s="24"/>
    </row>
    <row r="23" ht="15.75" customHeight="1">
      <c r="B23" s="25"/>
      <c r="C23" s="26" t="s">
        <v>90</v>
      </c>
      <c r="E23" s="26" t="s">
        <v>91</v>
      </c>
      <c r="F23" s="24"/>
    </row>
    <row r="24" ht="86.25" customHeight="1">
      <c r="B24" s="25"/>
      <c r="C24" s="179" t="s">
        <v>153</v>
      </c>
      <c r="D24" s="91" t="s">
        <v>93</v>
      </c>
      <c r="E24" s="99" t="str">
        <f>claudeMessages($C24,'Tutorial How-To'!$E$37,"temperature",0)</f>
        <v>Michael Jordan</v>
      </c>
      <c r="F24" s="24"/>
    </row>
    <row r="25" ht="86.25" customHeight="1">
      <c r="B25" s="25"/>
      <c r="C25" s="180"/>
      <c r="E25" s="95"/>
      <c r="F25" s="24"/>
    </row>
    <row r="26" ht="86.25" customHeight="1">
      <c r="B26" s="25"/>
      <c r="C26" s="181"/>
      <c r="E26" s="96"/>
      <c r="F26" s="24"/>
    </row>
    <row r="27" ht="15.75" customHeight="1">
      <c r="B27" s="25"/>
      <c r="F27" s="24"/>
    </row>
    <row r="28" collapsed="1">
      <c r="B28" s="127" t="s">
        <v>120</v>
      </c>
      <c r="C28" s="128" t="s">
        <v>121</v>
      </c>
      <c r="F28" s="12"/>
    </row>
    <row r="29" hidden="1" outlineLevel="1">
      <c r="B29" s="129" t="s">
        <v>154</v>
      </c>
      <c r="F29" s="12"/>
    </row>
    <row r="30" ht="29.25" customHeight="1">
      <c r="B30" s="182"/>
      <c r="C30" s="182"/>
      <c r="D30" s="182"/>
      <c r="E30" s="183"/>
      <c r="F30" s="183"/>
    </row>
    <row r="31" ht="29.25" customHeight="1">
      <c r="A31" s="71"/>
      <c r="B31" s="72" t="s">
        <v>147</v>
      </c>
      <c r="C31" s="73"/>
      <c r="D31" s="73"/>
      <c r="E31" s="74" t="s">
        <v>80</v>
      </c>
      <c r="F31" s="75"/>
      <c r="G31" s="71"/>
    </row>
    <row r="32" ht="57.75" customHeight="1">
      <c r="B32" s="80" t="s">
        <v>155</v>
      </c>
      <c r="F32" s="12"/>
    </row>
    <row r="33" ht="8.25" customHeight="1">
      <c r="B33" s="25"/>
      <c r="F33" s="24"/>
    </row>
    <row r="34" ht="15.75" customHeight="1">
      <c r="B34" s="25"/>
      <c r="C34" s="26" t="s">
        <v>90</v>
      </c>
      <c r="E34" s="26" t="s">
        <v>91</v>
      </c>
      <c r="F34" s="24"/>
    </row>
    <row r="35" ht="57.75" customHeight="1">
      <c r="B35" s="25"/>
      <c r="C35" s="179" t="s">
        <v>156</v>
      </c>
      <c r="D35" s="91" t="s">
        <v>93</v>
      </c>
      <c r="E35" s="184" t="str">
        <f>claudeMessages($C35,'Tutorial How-To'!$E$37,"temperature",0, "max_tokens_to_sample", 4000)</f>
        <v>Here is a 900-word fictional story with descriptions, character development, and a clear beginning, middle, and ending:
The Forgotten Melody
The soft patter of rain against the windowpane was the only sound that broke the eerie silence of the dimly lit room. Amelia sat hunched over the old upright piano, her fingers gently caressing the ivory keys. It had been years since she had played, the instrument a mere relic of her past life. 
Closing her eyes, Amelia allowed the memories to wash over her. She could almost hear the joyful laughter of her younger self, fingers dancing across the keys with effortless grace as she played the familiar melodies that had once brought her such comfort. Those days felt like a lifetime ago, before the weight of the world had settled so heavily upon her shoulders.
With a deep, shuddering breath, Amelia began to play. At first, the notes were hesitant, unsure, as if the piano itself had forgotten the song. But slowly, ever so slowly, the melody began to take shape, the familiar patterns emerging from the shadows of her mind. 
As the music swelled, Amelia felt a sense of peace wash over her. The years of grief, of loneliness, of regret seemed to melt away, replaced by a profound sense of connection to the girl she had once been. In that moment, she was no longer the broken, weary woman who had retreated from the world, but a vibrant, passionate soul, alive with the joy of creation.
The final notes hung in the air, reverberating through the room like a bittersweet sigh. Amelia opened her eyes, tears streaming down her cheeks. She had forgotten how deeply the music could touch her, how it could transport her to a time when the world had seemed full of endless possibilities.
With a heavy heart, Amelia closed the piano lid, the finality of the gesture echoing in the stillness. She knew that she could not remain in this moment, that the real world was waiting for her, with all its demands and disappointments. But for now, she allowed herself to bask in the warmth of the memory, to let it soothe the ache in her soul.
As Amelia made her way to the kitchen, she couldn't help but notice the framed photograph that hung on the wall, a relic of a happier time. It was a picture of her and her husband, Jack, taken on their wedding day. They had been so young, so full of hope and promise, their eyes shining with the boundless love that had carried them through the years.
Amelia traced the outline of Jack's face with her fingertips, a wistful smile playing on her lips. It had been five years since he had passed, and the pain of his loss still felt as raw and overwhelming as it had on that fateful day. She had tried to move on, to find joy in the simple things, but the world had lost its luster, the colors fading to a dull, lifeless gray.
With a heavy sigh, Amelia turned away from the photograph and busied herself with preparing a simple meal. As she moved around the kitchen, her mind drifted back to the piano, to the way the music had seemed to unlock a part of her that she had long since buried. Perhaps, she thought, it was time to dust off the old instrument and let the melodies flow once more.
The next day, Amelia found herself seated at the piano, her fingers tentatively exploring the familiar keys. At first, the music was hesitant, unsure, but as she played, a sense of purpose began to take hold. The melodies that had once brought her such joy now served as a balm for her weary soul, a way to process the grief and loneliness that had consumed her for so long.
Day by day, Amelia's playing grew stronger, more confident. She found herself losing track of time, immersed in the beauty of the music, the worries of the world fading into the background. It was as if the piano had become a portal, a gateway to a place where she could be truly herself, unencumbered by the weight of her past.
As the weeks turned into months, Amelia began to feel a shift within herself. The darkness that had once threatened to consume her was slowly giving way to a glimmer of hope, a newfound sense of purpose. She knew that she would never truly be the same, that the scars of her loss would always be a part of her, but she also knew that she had the power to create something beautiful from the ashes of her grief.
One evening, as Amelia sat at the piano, the familiar melody of her wedding song began to take shape. She played with a newfound passion, her fingers dancing across the keys with a grace and fluidity that she had long since forgotten. And as the final notes faded into the silence, Amelia felt a sense of peace wash over her, a realization that she was ready to embrace the future, to step out from the shadows of the past and into the light.
With a smile on her face, Amelia closed the piano lid, knowing that the forgotten melody had been rediscovered, and that the journey ahead would be one of healing, of growth, and of the endless possibilities that lay waiting to be explored.</v>
      </c>
      <c r="F35" s="24"/>
    </row>
    <row r="36" ht="57.75" customHeight="1">
      <c r="B36" s="25"/>
      <c r="C36" s="180"/>
      <c r="E36" s="95"/>
      <c r="F36" s="24"/>
    </row>
    <row r="37" ht="57.75" customHeight="1">
      <c r="B37" s="25"/>
      <c r="C37" s="180"/>
      <c r="E37" s="95"/>
      <c r="F37" s="24"/>
    </row>
    <row r="38" ht="57.75" customHeight="1">
      <c r="B38" s="25"/>
      <c r="C38" s="181"/>
      <c r="E38" s="96"/>
      <c r="F38" s="24"/>
    </row>
    <row r="39" ht="15.75" customHeight="1">
      <c r="B39" s="25"/>
      <c r="F39" s="24"/>
    </row>
    <row r="40" collapsed="1">
      <c r="B40" s="127" t="s">
        <v>120</v>
      </c>
      <c r="C40" s="128" t="s">
        <v>121</v>
      </c>
      <c r="F40" s="12"/>
    </row>
    <row r="41" hidden="1" outlineLevel="1">
      <c r="B41" s="129" t="s">
        <v>157</v>
      </c>
      <c r="F41" s="12"/>
    </row>
    <row r="42">
      <c r="B42" s="9"/>
      <c r="C42" s="9"/>
      <c r="D42" s="9"/>
      <c r="E42" s="9"/>
      <c r="F42" s="9"/>
    </row>
    <row r="43">
      <c r="B43" s="121" t="s">
        <v>158</v>
      </c>
      <c r="E43" s="42" t="s">
        <v>159</v>
      </c>
    </row>
    <row r="44" ht="8.25" customHeight="1"/>
    <row r="45">
      <c r="B45" s="123" t="s">
        <v>80</v>
      </c>
    </row>
    <row r="46">
      <c r="B46" s="123" t="s">
        <v>113</v>
      </c>
    </row>
  </sheetData>
  <mergeCells count="29">
    <mergeCell ref="B1:E1"/>
    <mergeCell ref="B3:C3"/>
    <mergeCell ref="B8:D8"/>
    <mergeCell ref="E8:F8"/>
    <mergeCell ref="B9:F9"/>
    <mergeCell ref="D12:D15"/>
    <mergeCell ref="E12:E15"/>
    <mergeCell ref="C17:F17"/>
    <mergeCell ref="B18:F18"/>
    <mergeCell ref="B20:D20"/>
    <mergeCell ref="E20:F20"/>
    <mergeCell ref="B21:F21"/>
    <mergeCell ref="C24:C26"/>
    <mergeCell ref="D24:D26"/>
    <mergeCell ref="D35:D38"/>
    <mergeCell ref="E35:E38"/>
    <mergeCell ref="C40:F40"/>
    <mergeCell ref="B41:F41"/>
    <mergeCell ref="B43:D43"/>
    <mergeCell ref="E43:F43"/>
    <mergeCell ref="B45:F45"/>
    <mergeCell ref="B46:F46"/>
    <mergeCell ref="E24:E26"/>
    <mergeCell ref="C28:F28"/>
    <mergeCell ref="B29:F29"/>
    <mergeCell ref="B31:D31"/>
    <mergeCell ref="E31:F31"/>
    <mergeCell ref="B32:F32"/>
    <mergeCell ref="C35:C38"/>
  </mergeCells>
  <conditionalFormatting sqref="E12:E15">
    <cfRule type="containsText" dxfId="0" priority="1" operator="containsText" text="hola">
      <formula>NOT(ISERROR(SEARCH(("hola"),(E12))))</formula>
    </cfRule>
  </conditionalFormatting>
  <conditionalFormatting sqref="E35:E38">
    <cfRule type="expression" dxfId="0" priority="2">
      <formula>LEN(TRIM(E35)) - LEN(SUBSTITUTE(E35," ","")) + 1 &gt;= 800</formula>
    </cfRule>
  </conditionalFormatting>
  <conditionalFormatting sqref="E24:E26">
    <cfRule type="cellIs" dxfId="0" priority="3" operator="equal">
      <formula>"Michael Jordan"</formula>
    </cfRule>
  </conditionalFormatting>
  <hyperlinks>
    <hyperlink display="Exercise 2.1 - Spanish" location="C2Exercise1" ref="C4"/>
    <hyperlink display="Exercise 2.2 - One Player Only" location="C2Exercise2" ref="C5"/>
    <hyperlink display="Exercise 2.3 - Write a Story" location="C2Exercise3" ref="C6"/>
    <hyperlink display="Back to top ↑" location="C2ExerciseTitle" ref="E8"/>
    <hyperlink display="Back to top ↑" location="C2ExerciseTitle" ref="E20"/>
    <hyperlink display="Back to top ↑" location="C2ExerciseTitle" ref="E31"/>
    <hyperlink display="← Chapter 2: Being Clear and Direct" location="C2LessonTitle" ref="B43"/>
    <hyperlink display="Chapter 3: Assigning Roles (Role Prompting) →" location="C3LessonTitle" ref="E43"/>
    <hyperlink display="Back to top ↑" location="C2ExerciseTitle" ref="B45"/>
    <hyperlink display="Table of Contents" location="IntroTitle" ref="B46"/>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6.0"/>
    <col customWidth="1" min="4" max="4" width="4.0"/>
    <col customWidth="1" min="5" max="5" width="88.13"/>
    <col customWidth="1" min="6" max="6" width="3.0"/>
    <col customWidth="1" min="7" max="7" width="5.5"/>
  </cols>
  <sheetData>
    <row r="1" ht="32.25" customHeight="1">
      <c r="A1" s="1"/>
      <c r="B1" s="2" t="s">
        <v>160</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185" t="s">
        <v>161</v>
      </c>
      <c r="C9" s="49"/>
      <c r="D9" s="49"/>
      <c r="E9" s="49"/>
      <c r="F9" s="50"/>
    </row>
    <row r="10" ht="33.75" customHeight="1"/>
    <row r="11" ht="29.25" customHeight="1">
      <c r="B11" s="72" t="s">
        <v>77</v>
      </c>
      <c r="C11" s="73"/>
      <c r="D11" s="73"/>
      <c r="E11" s="74" t="s">
        <v>80</v>
      </c>
      <c r="F11" s="75"/>
    </row>
    <row r="12">
      <c r="B12" s="89" t="s">
        <v>162</v>
      </c>
      <c r="F12" s="12"/>
    </row>
    <row r="13" ht="8.25" customHeight="1">
      <c r="B13" s="22"/>
      <c r="F13" s="24"/>
    </row>
    <row r="14">
      <c r="B14" s="25"/>
      <c r="C14" s="26" t="s">
        <v>163</v>
      </c>
      <c r="E14" s="26" t="s">
        <v>91</v>
      </c>
      <c r="F14" s="24"/>
    </row>
    <row r="15" ht="48.75" customHeight="1">
      <c r="B15" s="25"/>
      <c r="C15" s="105"/>
      <c r="D15" s="91" t="s">
        <v>93</v>
      </c>
      <c r="E15" s="184" t="str">
        <f>claudeMessages($C18,'Tutorial How-To'!$E$37,"temperature",0,"system",$C15)</f>
        <v>Skateboarding is an exhilarating and creative form of self-expression that combines athleticism, artistry, and a unique sense of freedom and community.</v>
      </c>
      <c r="F15" s="24"/>
    </row>
    <row r="16" ht="8.25" customHeight="1">
      <c r="B16" s="25"/>
      <c r="C16" s="26"/>
      <c r="E16" s="95"/>
      <c r="F16" s="24"/>
    </row>
    <row r="17" ht="15.75" customHeight="1">
      <c r="B17" s="25"/>
      <c r="C17" s="26" t="s">
        <v>90</v>
      </c>
      <c r="E17" s="95"/>
      <c r="F17" s="24"/>
    </row>
    <row r="18" ht="48.75" customHeight="1">
      <c r="B18" s="25"/>
      <c r="C18" s="105" t="s">
        <v>164</v>
      </c>
      <c r="E18" s="96"/>
      <c r="F18" s="24"/>
    </row>
    <row r="19" ht="8.25" customHeight="1">
      <c r="B19" s="22"/>
      <c r="F19" s="24"/>
    </row>
    <row r="20" ht="15.75" customHeight="1">
      <c r="B20" s="25"/>
      <c r="C20" s="26"/>
      <c r="E20" s="26"/>
      <c r="F20" s="24"/>
    </row>
    <row r="21">
      <c r="B21" s="89" t="s">
        <v>165</v>
      </c>
      <c r="F21" s="12"/>
    </row>
    <row r="22" ht="8.25" customHeight="1">
      <c r="B22" s="22"/>
      <c r="F22" s="24"/>
    </row>
    <row r="23" ht="22.5" customHeight="1">
      <c r="B23" s="25"/>
      <c r="C23" s="26" t="s">
        <v>166</v>
      </c>
      <c r="E23" s="26" t="s">
        <v>91</v>
      </c>
      <c r="F23" s="24"/>
    </row>
    <row r="24" ht="48.75" customHeight="1">
      <c r="B24" s="25"/>
      <c r="C24" s="186" t="s">
        <v>167</v>
      </c>
      <c r="D24" s="91" t="s">
        <v>93</v>
      </c>
      <c r="E24" s="162" t="str">
        <f>claudeMessages($C27,'Tutorial How-To'!$E$37,"temperature",0,"system",$C24)</f>
        <v>*meows* Skateboarding looks like a fun way for humans to zoom around on four wheels while balancing precariously, though I much prefer chasing after catnip-filled toys or napping in a cozy sunbeam.</v>
      </c>
      <c r="F24" s="24"/>
    </row>
    <row r="25" ht="8.25" customHeight="1">
      <c r="B25" s="25"/>
      <c r="C25" s="26"/>
      <c r="E25" s="95"/>
      <c r="F25" s="24"/>
    </row>
    <row r="26" ht="15.75" customHeight="1">
      <c r="B26" s="25"/>
      <c r="C26" s="26" t="s">
        <v>90</v>
      </c>
      <c r="E26" s="95"/>
      <c r="F26" s="24"/>
    </row>
    <row r="27" ht="48.75" customHeight="1">
      <c r="B27" s="25"/>
      <c r="C27" s="90" t="s">
        <v>164</v>
      </c>
      <c r="E27" s="96"/>
      <c r="F27" s="24"/>
    </row>
    <row r="28" ht="22.5" customHeight="1">
      <c r="B28" s="25"/>
      <c r="F28" s="24"/>
    </row>
    <row r="29">
      <c r="B29" s="89" t="s">
        <v>168</v>
      </c>
      <c r="F29" s="12"/>
    </row>
    <row r="30" ht="8.25" customHeight="1">
      <c r="B30" s="25"/>
      <c r="F30" s="24"/>
    </row>
    <row r="31">
      <c r="B31" s="25"/>
      <c r="C31" s="26" t="s">
        <v>163</v>
      </c>
      <c r="E31" s="26" t="s">
        <v>91</v>
      </c>
      <c r="F31" s="24"/>
    </row>
    <row r="32" ht="81.0" customHeight="1">
      <c r="B32" s="25"/>
      <c r="C32" s="105"/>
      <c r="D32" s="100" t="s">
        <v>93</v>
      </c>
      <c r="E32" s="184" t="str">
        <f>claudeMessages($C35,'Tutorial How-To'!$E$37,"temperature",0,"system",$C32)</f>
        <v>To solve this problem, we need to analyze the given information and determine if a married person is looking at an unmarried person.
Given information:
- Jack is looking at Anne.
- Anne is looking at George.
- Jack is married.
- George is not married.
- We don't know if Anne is married or not.
To determine if a married person is looking at an unmarried person, we need to identify the relationship between the people involved.
1. Jack is married and is looking at Anne.
2. We don't know if Anne is married or not.
3. Anne is looking at George, who is not married.
Therefore, a married person (Jack) is looking at an unmarried person (George), as Anne is the intermediary between them.
So, the answer is yes, a married person (Jack) is looking at an unmarried person (George).</v>
      </c>
      <c r="F32" s="24"/>
    </row>
    <row r="33" ht="8.25" customHeight="1">
      <c r="B33" s="25"/>
      <c r="C33" s="26"/>
      <c r="E33" s="95"/>
      <c r="F33" s="24"/>
    </row>
    <row r="34" ht="15.75" customHeight="1">
      <c r="B34" s="25"/>
      <c r="C34" s="26" t="s">
        <v>90</v>
      </c>
      <c r="E34" s="95"/>
      <c r="F34" s="24"/>
    </row>
    <row r="35" ht="122.25" customHeight="1">
      <c r="B35" s="25"/>
      <c r="C35" s="99" t="s">
        <v>169</v>
      </c>
      <c r="E35" s="96"/>
      <c r="F35" s="24"/>
    </row>
    <row r="36" ht="22.5" customHeight="1">
      <c r="B36" s="25"/>
      <c r="F36" s="24"/>
    </row>
    <row r="37">
      <c r="B37" s="89" t="s">
        <v>170</v>
      </c>
      <c r="F37" s="12"/>
    </row>
    <row r="38" ht="8.25" customHeight="1">
      <c r="B38" s="25"/>
      <c r="F38" s="24"/>
    </row>
    <row r="39">
      <c r="B39" s="25"/>
      <c r="C39" s="26" t="s">
        <v>166</v>
      </c>
      <c r="E39" s="26" t="s">
        <v>91</v>
      </c>
      <c r="F39" s="24"/>
    </row>
    <row r="40" ht="113.25" customHeight="1">
      <c r="B40" s="25"/>
      <c r="C40" s="186" t="s">
        <v>171</v>
      </c>
      <c r="D40" s="100" t="s">
        <v>93</v>
      </c>
      <c r="E40" s="162" t="str">
        <f>claudeMessages($C43,'Tutorial How-To'!$E$37,"temperature",0,"system",$C40)</f>
        <v>To solve this problem, we need to analyze the given information and determine the relationship between the people.
Given information:
- Jack is looking at Anne.
- Anne is looking at George.
- Jack is married.
- George is not married.
- We don't know if Anne is married or not.
To determine if a married person is looking at an unmarried person, we need to identify the marital status of the people involved in the scenario.
We know that:
- Jack is married.
- George is not married.
Since Jack is looking at Anne, and Jack is married, then a married person (Jack) is looking at someone.
However, we don't know the marital status of Anne. If Anne is unmarried, then a married person (Jack) is looking at an unmarried person (Anne).
If Anne is married, then a married person (Jack) is looking at another married person (Anne).
Therefore, based on the given information, it is possible that a married person (Jack) is looking at an unmarried person (Anne), but we cannot say this with certainty because we don't know Anne's marital status.</v>
      </c>
      <c r="F40" s="24"/>
    </row>
    <row r="41" ht="8.25" customHeight="1">
      <c r="B41" s="25"/>
      <c r="C41" s="26"/>
      <c r="E41" s="95"/>
      <c r="F41" s="24"/>
    </row>
    <row r="42" ht="15.75" customHeight="1">
      <c r="B42" s="25"/>
      <c r="C42" s="26" t="s">
        <v>90</v>
      </c>
      <c r="E42" s="95"/>
      <c r="F42" s="24"/>
    </row>
    <row r="43" ht="137.25" customHeight="1">
      <c r="B43" s="25"/>
      <c r="C43" s="90" t="s">
        <v>169</v>
      </c>
      <c r="E43" s="96"/>
      <c r="F43" s="24"/>
    </row>
    <row r="44" ht="15.0" customHeight="1">
      <c r="B44" s="25"/>
      <c r="F44" s="24"/>
    </row>
    <row r="45">
      <c r="B45" s="89" t="s">
        <v>172</v>
      </c>
      <c r="F45" s="12"/>
    </row>
    <row r="46" ht="11.25" customHeight="1">
      <c r="B46" s="25"/>
      <c r="F46" s="24"/>
    </row>
    <row r="47">
      <c r="B47" s="118" t="s">
        <v>173</v>
      </c>
      <c r="C47" s="49"/>
      <c r="D47" s="49"/>
      <c r="E47" s="49"/>
      <c r="F47" s="50"/>
    </row>
    <row r="48" ht="15.75" customHeight="1"/>
    <row r="49" ht="15.75" customHeight="1">
      <c r="E49" s="42" t="s">
        <v>174</v>
      </c>
    </row>
    <row r="50" ht="33.75" customHeight="1"/>
    <row r="51" ht="29.25" customHeight="1">
      <c r="B51" s="72" t="s">
        <v>79</v>
      </c>
      <c r="C51" s="73"/>
      <c r="D51" s="73"/>
      <c r="E51" s="74" t="s">
        <v>80</v>
      </c>
      <c r="F51" s="75"/>
    </row>
    <row r="52">
      <c r="B52" s="89" t="s">
        <v>175</v>
      </c>
      <c r="F52" s="12"/>
    </row>
    <row r="53" ht="8.25" customHeight="1">
      <c r="B53" s="22"/>
      <c r="F53" s="24"/>
    </row>
    <row r="54">
      <c r="B54" s="25"/>
      <c r="C54" s="26" t="s">
        <v>163</v>
      </c>
      <c r="E54" s="26" t="s">
        <v>91</v>
      </c>
      <c r="F54" s="24"/>
    </row>
    <row r="55" ht="48.75" customHeight="1">
      <c r="B55" s="25"/>
      <c r="C55" s="105"/>
      <c r="D55" s="91" t="s">
        <v>93</v>
      </c>
      <c r="E55" s="184" t="str">
        <f>claudeMessages($C58,'Tutorial How-To'!$E$37,"temperature",0,"system",$C55)</f>
        <v>Skateboarding is an exhilarating and creative form of self-expression that combines athleticism, artistry, and a unique sense of freedom and community.</v>
      </c>
      <c r="F55" s="24"/>
    </row>
    <row r="56" ht="8.25" customHeight="1">
      <c r="B56" s="25"/>
      <c r="C56" s="26"/>
      <c r="E56" s="95"/>
      <c r="F56" s="24"/>
    </row>
    <row r="57" ht="15.75" customHeight="1">
      <c r="B57" s="25"/>
      <c r="C57" s="26" t="s">
        <v>90</v>
      </c>
      <c r="E57" s="95"/>
      <c r="F57" s="24"/>
    </row>
    <row r="58" ht="48.75" customHeight="1">
      <c r="B58" s="25"/>
      <c r="C58" s="105" t="s">
        <v>164</v>
      </c>
      <c r="E58" s="96"/>
      <c r="F58" s="24"/>
    </row>
    <row r="59" ht="8.25" customHeight="1">
      <c r="B59" s="25"/>
      <c r="F59" s="24"/>
    </row>
    <row r="60" ht="22.5" customHeight="1">
      <c r="B60" s="25"/>
      <c r="C60" s="26" t="s">
        <v>166</v>
      </c>
      <c r="E60" s="26" t="s">
        <v>91</v>
      </c>
      <c r="F60" s="24"/>
    </row>
    <row r="61" ht="48.75" customHeight="1">
      <c r="B61" s="25"/>
      <c r="C61" s="186" t="s">
        <v>167</v>
      </c>
      <c r="D61" s="91" t="s">
        <v>93</v>
      </c>
      <c r="E61" s="187" t="str">
        <f>claudeMessages($C64,'Tutorial How-To'!$E$37,"temperature",0,"system",$C61)</f>
        <v>*meows* Skateboarding looks like a fun way for humans to zoom around on four wheels while balancing precariously, though I much prefer chasing after catnip-filled toys or napping in a cozy sunbeam.</v>
      </c>
      <c r="F61" s="24"/>
    </row>
    <row r="62" ht="8.25" customHeight="1">
      <c r="B62" s="25"/>
      <c r="C62" s="26"/>
      <c r="E62" s="95"/>
      <c r="F62" s="24"/>
    </row>
    <row r="63" ht="15.75" customHeight="1">
      <c r="B63" s="25"/>
      <c r="C63" s="26" t="s">
        <v>90</v>
      </c>
      <c r="E63" s="95"/>
      <c r="F63" s="24"/>
    </row>
    <row r="64" ht="48.75" customHeight="1">
      <c r="B64" s="25"/>
      <c r="C64" s="90" t="s">
        <v>164</v>
      </c>
      <c r="E64" s="96"/>
      <c r="F64" s="24"/>
    </row>
    <row r="65" ht="8.25" customHeight="1">
      <c r="B65" s="25"/>
      <c r="F65" s="24"/>
    </row>
    <row r="66">
      <c r="B66" s="25"/>
      <c r="C66" s="26" t="s">
        <v>163</v>
      </c>
      <c r="E66" s="26" t="s">
        <v>91</v>
      </c>
      <c r="F66" s="24"/>
    </row>
    <row r="67" ht="81.0" customHeight="1">
      <c r="B67" s="25"/>
      <c r="C67" s="105"/>
      <c r="D67" s="100" t="s">
        <v>93</v>
      </c>
      <c r="E67" s="184" t="str">
        <f>claudeMessages($C70,'Tutorial How-To'!$E$37,"temperature",0,"system",$C67)</f>
        <v>To solve this problem, we need to analyze the given information and determine if a married person is looking at an unmarried person.
Given information:
- Jack is looking at Anne.
- Anne is looking at George.
- Jack is married.
- George is not married.
- We don't know if Anne is married or not.
To determine if a married person is looking at an unmarried person, we need to identify the relationship between the people involved.
1. Jack is married and is looking at Anne.
2. We don't know if Anne is married or not.
3. Anne is looking at George, who is not married.
Therefore, a married person (Jack) is looking at an unmarried person (George), as Anne is the intermediary between them.
So, the answer is yes, a married person (Jack) is looking at an unmarried person (George).</v>
      </c>
      <c r="F67" s="24"/>
    </row>
    <row r="68" ht="8.25" customHeight="1">
      <c r="B68" s="25"/>
      <c r="C68" s="26"/>
      <c r="E68" s="95"/>
      <c r="F68" s="24"/>
    </row>
    <row r="69" ht="15.75" customHeight="1">
      <c r="B69" s="25"/>
      <c r="C69" s="26" t="s">
        <v>90</v>
      </c>
      <c r="E69" s="95"/>
      <c r="F69" s="24"/>
    </row>
    <row r="70" ht="122.25" customHeight="1">
      <c r="B70" s="25"/>
      <c r="C70" s="99" t="s">
        <v>169</v>
      </c>
      <c r="E70" s="96"/>
      <c r="F70" s="24"/>
    </row>
    <row r="71" ht="8.25" customHeight="1">
      <c r="B71" s="25"/>
      <c r="F71" s="24"/>
    </row>
    <row r="72">
      <c r="B72" s="25"/>
      <c r="C72" s="26" t="s">
        <v>166</v>
      </c>
      <c r="E72" s="26" t="s">
        <v>91</v>
      </c>
      <c r="F72" s="24"/>
    </row>
    <row r="73" ht="113.25" customHeight="1">
      <c r="B73" s="25"/>
      <c r="C73" s="186" t="s">
        <v>171</v>
      </c>
      <c r="D73" s="100" t="s">
        <v>93</v>
      </c>
      <c r="E73" s="187" t="str">
        <f>claudeMessages($C76,'Tutorial How-To'!$E$37,"temperature",0,"system",$C73)</f>
        <v>To solve this problem, we need to analyze the given information and determine the relationship between the people.
Given information:
- Jack is looking at Anne.
- Anne is looking at George.
- Jack is married.
- George is not married.
- We don't know if Anne is married or not.
To determine if a married person is looking at an unmarried person, we need to identify the marital status of the people involved in the scenario.
We know that:
- Jack is married.
- George is not married.
Since Jack is looking at Anne, and Jack is married, then a married person (Jack) is looking at someone.
However, we don't know the marital status of Anne. If Anne is unmarried, then a married person (Jack) is looking at an unmarried person (Anne).
If Anne is married, then a married person (Jack) is looking at another married person (Anne).
Therefore, based on the given information, it is possible that a married person (Jack) is looking at an unmarried person (Anne), but we cannot say this with certainty because we don't know Anne's marital status.</v>
      </c>
      <c r="F73" s="24"/>
    </row>
    <row r="74" ht="8.25" customHeight="1">
      <c r="B74" s="25"/>
      <c r="C74" s="26"/>
      <c r="E74" s="95"/>
      <c r="F74" s="24"/>
    </row>
    <row r="75" ht="15.75" customHeight="1">
      <c r="B75" s="25"/>
      <c r="C75" s="26" t="s">
        <v>90</v>
      </c>
      <c r="E75" s="95"/>
      <c r="F75" s="24"/>
    </row>
    <row r="76" ht="137.25" customHeight="1">
      <c r="B76" s="25"/>
      <c r="C76" s="90" t="s">
        <v>169</v>
      </c>
      <c r="E76" s="96"/>
      <c r="F76" s="24"/>
    </row>
    <row r="77">
      <c r="B77" s="120"/>
      <c r="C77" s="65"/>
      <c r="D77" s="65"/>
      <c r="E77" s="65"/>
      <c r="F77" s="66"/>
    </row>
    <row r="79">
      <c r="B79" s="121" t="s">
        <v>176</v>
      </c>
      <c r="E79" s="42" t="s">
        <v>174</v>
      </c>
    </row>
    <row r="80" ht="8.25" customHeight="1"/>
    <row r="81">
      <c r="B81" s="123" t="s">
        <v>80</v>
      </c>
    </row>
    <row r="82">
      <c r="B82" s="123" t="s">
        <v>113</v>
      </c>
    </row>
  </sheetData>
  <mergeCells count="37">
    <mergeCell ref="B1:E1"/>
    <mergeCell ref="B3:C3"/>
    <mergeCell ref="B8:D8"/>
    <mergeCell ref="E8:F8"/>
    <mergeCell ref="B9:F9"/>
    <mergeCell ref="E11:F11"/>
    <mergeCell ref="B12:F12"/>
    <mergeCell ref="B11:D11"/>
    <mergeCell ref="D15:D18"/>
    <mergeCell ref="E15:E18"/>
    <mergeCell ref="B21:F21"/>
    <mergeCell ref="D24:D27"/>
    <mergeCell ref="E24:E27"/>
    <mergeCell ref="B29:F29"/>
    <mergeCell ref="D32:D35"/>
    <mergeCell ref="E32:E35"/>
    <mergeCell ref="B37:F37"/>
    <mergeCell ref="D40:D43"/>
    <mergeCell ref="E40:E43"/>
    <mergeCell ref="B45:F45"/>
    <mergeCell ref="B47:F47"/>
    <mergeCell ref="E49:F49"/>
    <mergeCell ref="B51:D51"/>
    <mergeCell ref="E51:F51"/>
    <mergeCell ref="B52:F52"/>
    <mergeCell ref="D55:D58"/>
    <mergeCell ref="E55:E58"/>
    <mergeCell ref="E61:E64"/>
    <mergeCell ref="B81:F81"/>
    <mergeCell ref="B82:F82"/>
    <mergeCell ref="D61:D64"/>
    <mergeCell ref="D67:D70"/>
    <mergeCell ref="E67:E70"/>
    <mergeCell ref="D73:D76"/>
    <mergeCell ref="E73:E76"/>
    <mergeCell ref="B79:D79"/>
    <mergeCell ref="E79:F79"/>
  </mergeCells>
  <hyperlinks>
    <hyperlink display="Lesson" location="C3Lesson" ref="C4"/>
    <hyperlink display="Examples" location="C3Examples" ref="C5"/>
    <hyperlink display="Example Playground" location="C3ExamplePlayground" ref="C6"/>
    <hyperlink display="Back to top ↑" location="C3LessonTitle" ref="E8"/>
    <hyperlink display="Back to top ↑" location="C3LessonTitle" ref="E11"/>
    <hyperlink display="Chapter 3 Exercises: Assigning Roles →" location="C3ExerciseTitle" ref="E49"/>
    <hyperlink display="Back to top ↑" location="C3LessonTitle" ref="E51"/>
    <hyperlink display="← Chapter 2 Exercises: Being Clear and Direct" location="C2ExerciseTitle" ref="B79"/>
    <hyperlink display="Chapter 3 Exercises: Assigning Roles →" location="C3ExerciseTitle" ref="E79"/>
    <hyperlink display="Back to top ↑" location="C3LessonTitle" ref="B81"/>
    <hyperlink display="Table of Contents" location="IntroTitle" ref="B82"/>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177</v>
      </c>
      <c r="F1" s="3"/>
      <c r="G1" s="3"/>
    </row>
    <row r="2" ht="21.75" customHeight="1"/>
    <row r="3" ht="21.75" customHeight="1">
      <c r="A3" s="23"/>
      <c r="B3" s="69" t="s">
        <v>76</v>
      </c>
    </row>
    <row r="4" ht="15.75" customHeight="1">
      <c r="A4" s="23"/>
      <c r="C4" s="70" t="s">
        <v>178</v>
      </c>
    </row>
    <row r="5" ht="33.75" customHeight="1"/>
    <row r="6" ht="29.25" customHeight="1">
      <c r="A6" s="71"/>
      <c r="B6" s="72" t="s">
        <v>178</v>
      </c>
      <c r="C6" s="73"/>
      <c r="D6" s="73"/>
      <c r="E6" s="74" t="s">
        <v>80</v>
      </c>
      <c r="F6" s="75"/>
      <c r="G6" s="71"/>
    </row>
    <row r="7">
      <c r="B7" s="80" t="s">
        <v>179</v>
      </c>
      <c r="F7" s="12"/>
    </row>
    <row r="8" ht="11.25" customHeight="1">
      <c r="B8" s="25"/>
      <c r="F8" s="24"/>
    </row>
    <row r="9" ht="15.75" customHeight="1">
      <c r="B9" s="25"/>
      <c r="C9" s="26" t="s">
        <v>105</v>
      </c>
      <c r="E9" s="26" t="s">
        <v>91</v>
      </c>
      <c r="F9" s="24"/>
    </row>
    <row r="10" ht="139.5" customHeight="1">
      <c r="B10" s="25"/>
      <c r="C10" s="188" t="s">
        <v>180</v>
      </c>
      <c r="D10" s="91" t="s">
        <v>93</v>
      </c>
      <c r="E10" s="156" t="str">
        <f>claudeMessages($C13,'Tutorial How-To'!$E$37,"system",$C10,"temperature",0)</f>
        <v>Let's verify the solution step-by-step:
Given equation: 2x - 3 = 9
Step 1) Isolate the variable term:
2x - 3 = 9
2x = 9 + 3
2x = 12
Step 2) Divide both sides by 2 to find the value of x:
2x = 12
x = 12 / 2
x = 6
The solution provided is incorrect. The correct solution is:
2x - 3 = 9
2x = 9 + 3
2x = 12
x = 12 / 2
x = 6</v>
      </c>
      <c r="F10" s="24"/>
    </row>
    <row r="11" ht="8.25" customHeight="1">
      <c r="B11" s="25"/>
      <c r="C11" s="26"/>
      <c r="E11" s="95"/>
      <c r="F11" s="24"/>
    </row>
    <row r="12" ht="15.75" customHeight="1">
      <c r="B12" s="25"/>
      <c r="C12" s="26" t="s">
        <v>90</v>
      </c>
      <c r="E12" s="95"/>
      <c r="F12" s="24"/>
    </row>
    <row r="13" ht="182.25" customHeight="1">
      <c r="B13" s="25"/>
      <c r="C13" s="126" t="s">
        <v>181</v>
      </c>
      <c r="E13" s="96"/>
      <c r="F13" s="24"/>
    </row>
    <row r="14" ht="15.75" customHeight="1">
      <c r="B14" s="25"/>
      <c r="F14" s="24"/>
    </row>
    <row r="15" ht="15.75" customHeight="1" collapsed="1">
      <c r="B15" s="127" t="s">
        <v>120</v>
      </c>
      <c r="C15" s="128" t="s">
        <v>121</v>
      </c>
      <c r="F15" s="12"/>
    </row>
    <row r="16" hidden="1" outlineLevel="1">
      <c r="B16" s="129" t="s">
        <v>182</v>
      </c>
      <c r="F16" s="12"/>
    </row>
    <row r="17">
      <c r="B17" s="9"/>
      <c r="C17" s="9"/>
      <c r="D17" s="9"/>
      <c r="E17" s="9"/>
      <c r="F17" s="9"/>
    </row>
    <row r="18">
      <c r="B18" s="121" t="s">
        <v>183</v>
      </c>
      <c r="E18" s="42" t="s">
        <v>184</v>
      </c>
    </row>
    <row r="19" ht="8.25" customHeight="1"/>
    <row r="20">
      <c r="B20" s="123" t="s">
        <v>80</v>
      </c>
    </row>
    <row r="21">
      <c r="B21" s="123" t="s">
        <v>113</v>
      </c>
    </row>
  </sheetData>
  <mergeCells count="13">
    <mergeCell ref="C15:F15"/>
    <mergeCell ref="B16:F16"/>
    <mergeCell ref="B18:D18"/>
    <mergeCell ref="E18:F18"/>
    <mergeCell ref="B20:F20"/>
    <mergeCell ref="B21:F21"/>
    <mergeCell ref="B1:E1"/>
    <mergeCell ref="B3:C3"/>
    <mergeCell ref="B6:D6"/>
    <mergeCell ref="E6:F6"/>
    <mergeCell ref="B7:F7"/>
    <mergeCell ref="D10:D13"/>
    <mergeCell ref="E10:E13"/>
  </mergeCells>
  <conditionalFormatting sqref="E10:E13">
    <cfRule type="containsText" dxfId="0" priority="1" operator="containsText" text="incorrect">
      <formula>NOT(ISERROR(SEARCH(("incorrect"),(E10))))</formula>
    </cfRule>
  </conditionalFormatting>
  <conditionalFormatting sqref="E10:E13">
    <cfRule type="containsText" dxfId="0" priority="2" operator="containsText" text="not correct">
      <formula>NOT(ISERROR(SEARCH(("not correct"),(E10))))</formula>
    </cfRule>
  </conditionalFormatting>
  <conditionalFormatting sqref="E14">
    <cfRule type="containsText" dxfId="0" priority="3" operator="containsText" text="incorrectly">
      <formula>NOT(ISERROR(SEARCH(("incorrectly"),(E14))))</formula>
    </cfRule>
  </conditionalFormatting>
  <hyperlinks>
    <hyperlink display="Exercise 3.1 - Math Correction" location="C3Exercise1" ref="C4"/>
    <hyperlink display="Back to top ↑" location="C3ExerciseTitle" ref="E6"/>
    <hyperlink display="← Chapter 3: Assigning Roles" location="C3LessonTitle" ref="B18"/>
    <hyperlink display="Chapter 4: Separating Data and Instructions →" location="C4LessonTitle" ref="E18"/>
    <hyperlink display="Back to top ↑" location="C3ExerciseTitle" ref="B20"/>
    <hyperlink display="Table of Contents" location="IntroTitle" ref="B2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28.25"/>
    <col customWidth="1" min="4" max="4" width="4.0"/>
    <col customWidth="1" min="5" max="5" width="22.63"/>
    <col customWidth="1" min="6" max="6" width="4.0"/>
    <col customWidth="1" min="7" max="7" width="33.63"/>
    <col customWidth="1" min="8" max="8" width="4.0"/>
    <col customWidth="1" min="9" max="9" width="52.25"/>
    <col customWidth="1" min="10" max="10" width="3.0"/>
    <col customWidth="1" min="11" max="11" width="5.5"/>
  </cols>
  <sheetData>
    <row r="1" ht="32.25" customHeight="1">
      <c r="A1" s="134"/>
      <c r="B1" s="135" t="s">
        <v>58</v>
      </c>
      <c r="H1" s="189"/>
      <c r="I1" s="190"/>
      <c r="J1" s="136"/>
      <c r="K1" s="136"/>
    </row>
    <row r="2" ht="21.75" customHeight="1">
      <c r="A2" s="108"/>
      <c r="B2" s="108"/>
      <c r="C2" s="108"/>
      <c r="D2" s="191"/>
      <c r="E2" s="108"/>
      <c r="F2" s="191"/>
      <c r="G2" s="108"/>
      <c r="H2" s="191"/>
      <c r="I2" s="144"/>
      <c r="J2" s="108"/>
      <c r="K2" s="108"/>
    </row>
    <row r="3" ht="21.75" customHeight="1">
      <c r="A3" s="137"/>
      <c r="B3" s="138" t="s">
        <v>76</v>
      </c>
      <c r="D3" s="191"/>
      <c r="E3" s="108"/>
      <c r="F3" s="191"/>
      <c r="G3" s="137"/>
      <c r="H3" s="192"/>
      <c r="I3" s="108"/>
      <c r="J3" s="108"/>
      <c r="K3" s="108"/>
    </row>
    <row r="4" ht="15.75" customHeight="1">
      <c r="A4" s="137"/>
      <c r="B4" s="108"/>
      <c r="C4" s="139" t="s">
        <v>53</v>
      </c>
      <c r="D4" s="191"/>
      <c r="E4" s="108"/>
      <c r="F4" s="191"/>
      <c r="G4" s="137"/>
      <c r="H4" s="191"/>
      <c r="I4" s="137"/>
      <c r="J4" s="108"/>
      <c r="K4" s="108"/>
    </row>
    <row r="5" ht="15.75" customHeight="1">
      <c r="A5" s="137"/>
      <c r="B5" s="108"/>
      <c r="C5" s="139" t="s">
        <v>77</v>
      </c>
      <c r="D5" s="191"/>
      <c r="E5" s="108"/>
      <c r="F5" s="191"/>
      <c r="G5" s="137"/>
      <c r="H5" s="191"/>
      <c r="I5" s="137"/>
      <c r="J5" s="108"/>
      <c r="K5" s="108"/>
    </row>
    <row r="6" ht="15.75" customHeight="1">
      <c r="A6" s="137" t="s">
        <v>78</v>
      </c>
      <c r="B6" s="108"/>
      <c r="C6" s="139" t="s">
        <v>79</v>
      </c>
      <c r="D6" s="191"/>
      <c r="E6" s="108"/>
      <c r="F6" s="191"/>
      <c r="G6" s="137" t="s">
        <v>78</v>
      </c>
      <c r="H6" s="191"/>
      <c r="I6" s="137"/>
      <c r="J6" s="108"/>
      <c r="K6" s="108"/>
    </row>
    <row r="7" ht="33.75" customHeight="1">
      <c r="A7" s="108"/>
      <c r="B7" s="140"/>
      <c r="C7" s="140"/>
      <c r="D7" s="193"/>
      <c r="E7" s="140"/>
      <c r="F7" s="193"/>
      <c r="G7" s="140"/>
      <c r="H7" s="193"/>
      <c r="I7" s="140"/>
      <c r="J7" s="140"/>
      <c r="K7" s="108"/>
    </row>
    <row r="8" ht="29.25" customHeight="1">
      <c r="A8" s="141"/>
      <c r="B8" s="142" t="s">
        <v>53</v>
      </c>
      <c r="F8" s="191"/>
      <c r="G8" s="144"/>
      <c r="H8" s="191"/>
      <c r="I8" s="143" t="s">
        <v>80</v>
      </c>
      <c r="J8" s="12"/>
      <c r="K8" s="144"/>
    </row>
    <row r="9">
      <c r="A9" s="106"/>
      <c r="B9" s="147" t="s">
        <v>185</v>
      </c>
      <c r="C9" s="49"/>
      <c r="D9" s="49"/>
      <c r="E9" s="49"/>
      <c r="F9" s="49"/>
      <c r="G9" s="49"/>
      <c r="H9" s="49"/>
      <c r="I9" s="49"/>
      <c r="J9" s="50"/>
      <c r="K9" s="108"/>
    </row>
    <row r="10" ht="33.75" customHeight="1">
      <c r="A10" s="108"/>
      <c r="B10" s="140"/>
      <c r="C10" s="140"/>
      <c r="D10" s="193"/>
      <c r="E10" s="140"/>
      <c r="F10" s="193"/>
      <c r="G10" s="140"/>
      <c r="H10" s="193"/>
      <c r="I10" s="194"/>
      <c r="J10" s="140"/>
      <c r="K10" s="108"/>
    </row>
    <row r="11" ht="29.25" customHeight="1">
      <c r="A11" s="106"/>
      <c r="B11" s="142" t="s">
        <v>77</v>
      </c>
      <c r="F11" s="191"/>
      <c r="G11" s="108"/>
      <c r="H11" s="191"/>
      <c r="I11" s="143" t="s">
        <v>80</v>
      </c>
      <c r="J11" s="12"/>
      <c r="K11" s="108"/>
    </row>
    <row r="12">
      <c r="A12" s="106"/>
      <c r="B12" s="148" t="s">
        <v>186</v>
      </c>
      <c r="J12" s="12"/>
      <c r="K12" s="108"/>
    </row>
    <row r="13" ht="8.25" customHeight="1">
      <c r="A13" s="106"/>
      <c r="B13" s="137"/>
      <c r="C13" s="108"/>
      <c r="D13" s="191"/>
      <c r="E13" s="108"/>
      <c r="F13" s="191"/>
      <c r="G13" s="108"/>
      <c r="H13" s="191"/>
      <c r="I13" s="144"/>
      <c r="J13" s="106"/>
      <c r="K13" s="108"/>
    </row>
    <row r="14">
      <c r="A14" s="106"/>
      <c r="B14" s="108"/>
      <c r="C14" s="195" t="s">
        <v>187</v>
      </c>
      <c r="D14" s="191"/>
      <c r="E14" s="196" t="s">
        <v>188</v>
      </c>
      <c r="F14" s="191"/>
      <c r="G14" s="197" t="s">
        <v>189</v>
      </c>
      <c r="H14" s="191"/>
      <c r="I14" s="198" t="s">
        <v>91</v>
      </c>
      <c r="J14" s="106"/>
      <c r="K14" s="108"/>
    </row>
    <row r="15" ht="105.75" customHeight="1">
      <c r="A15" s="106"/>
      <c r="B15" s="199"/>
      <c r="C15" s="200" t="s">
        <v>190</v>
      </c>
      <c r="D15" s="201" t="s">
        <v>191</v>
      </c>
      <c r="E15" s="202" t="s">
        <v>192</v>
      </c>
      <c r="F15" s="203" t="s">
        <v>193</v>
      </c>
      <c r="G15" s="150" t="str">
        <f>substitute(C15,"{{ANIMAL}}",E15)</f>
        <v>User: I will tell you the name of an animal. Please respond with the noise that animal makes. Cow</v>
      </c>
      <c r="H15" s="204" t="s">
        <v>93</v>
      </c>
      <c r="I15" s="152" t="str">
        <f>claudeMessages($G15,'Tutorial How-To'!$E$37,"temperature",0)</f>
        <v>Moo.</v>
      </c>
      <c r="J15" s="106"/>
      <c r="K15" s="108"/>
    </row>
    <row r="16" ht="15.75" customHeight="1">
      <c r="A16" s="106"/>
      <c r="B16" s="108"/>
      <c r="C16" s="205"/>
      <c r="D16" s="192"/>
      <c r="E16" s="205"/>
      <c r="F16" s="191"/>
      <c r="G16" s="205"/>
      <c r="H16" s="191"/>
      <c r="I16" s="205"/>
      <c r="J16" s="106"/>
      <c r="K16" s="108"/>
    </row>
    <row r="17">
      <c r="A17" s="106"/>
      <c r="B17" s="148" t="s">
        <v>194</v>
      </c>
      <c r="J17" s="12"/>
      <c r="K17" s="108"/>
    </row>
    <row r="18" ht="11.25" customHeight="1">
      <c r="A18" s="106"/>
      <c r="B18" s="137"/>
      <c r="C18" s="137"/>
      <c r="D18" s="192"/>
      <c r="E18" s="137"/>
      <c r="F18" s="192"/>
      <c r="G18" s="137"/>
      <c r="H18" s="192"/>
      <c r="I18" s="137"/>
      <c r="J18" s="146"/>
      <c r="K18" s="108"/>
    </row>
    <row r="19">
      <c r="A19" s="106"/>
      <c r="B19" s="148" t="s">
        <v>195</v>
      </c>
      <c r="J19" s="12"/>
      <c r="K19" s="108"/>
    </row>
    <row r="20" ht="8.25" customHeight="1">
      <c r="A20" s="106"/>
      <c r="B20" s="108"/>
      <c r="C20" s="108"/>
      <c r="D20" s="191"/>
      <c r="E20" s="108"/>
      <c r="F20" s="191"/>
      <c r="G20" s="108"/>
      <c r="H20" s="191"/>
      <c r="I20" s="144"/>
      <c r="J20" s="106"/>
      <c r="K20" s="108"/>
    </row>
    <row r="21">
      <c r="A21" s="106"/>
      <c r="B21" s="108"/>
      <c r="C21" s="195" t="s">
        <v>187</v>
      </c>
      <c r="D21" s="191"/>
      <c r="E21" s="196" t="s">
        <v>196</v>
      </c>
      <c r="F21" s="191"/>
      <c r="G21" s="197" t="s">
        <v>189</v>
      </c>
      <c r="H21" s="191"/>
      <c r="I21" s="198" t="s">
        <v>91</v>
      </c>
      <c r="J21" s="106"/>
      <c r="K21" s="108"/>
    </row>
    <row r="22" ht="47.25" customHeight="1">
      <c r="A22" s="106"/>
      <c r="B22" s="199"/>
      <c r="C22" s="206" t="s">
        <v>197</v>
      </c>
      <c r="D22" s="201" t="s">
        <v>191</v>
      </c>
      <c r="E22" s="207" t="s">
        <v>198</v>
      </c>
      <c r="F22" s="203" t="s">
        <v>193</v>
      </c>
      <c r="G22" s="155" t="str">
        <f>substitute(C22,"{{EMAIL}}",E22)</f>
        <v>User: Yo Claude. Show up at 6am tomorrow because I'm the CEO and I say so. &lt;----- Make this email more polite but don't change anything else about it.</v>
      </c>
      <c r="H22" s="204" t="s">
        <v>93</v>
      </c>
      <c r="I22" s="156" t="str">
        <f>claudeMessages($G22,'Tutorial How-To'!$E$37,"temperature",0)</f>
        <v>Dear [Your Name],
I hope this email finds you well. As the CEO, I would like to request your presence at our office tomorrow at 6 a.m. I understand this may be an early start, but I believe it is necessary for the success of our company.
Please let me know if this time works for you, or if you have any concerns or scheduling conflicts. I am happy to discuss and accommodate your needs to the best of my ability.
Thank you for your time and dedication to our organization.
Best regards,
[Your Name]
CEO</v>
      </c>
      <c r="J22" s="106"/>
      <c r="K22" s="108"/>
    </row>
    <row r="23" ht="47.25" customHeight="1">
      <c r="A23" s="106"/>
      <c r="B23" s="199"/>
      <c r="C23" s="180"/>
      <c r="D23" s="114"/>
      <c r="E23" s="114"/>
      <c r="F23" s="114"/>
      <c r="G23" s="114"/>
      <c r="H23" s="114"/>
      <c r="I23" s="95"/>
      <c r="J23" s="106"/>
      <c r="K23" s="108"/>
    </row>
    <row r="24" ht="47.25" customHeight="1">
      <c r="A24" s="106"/>
      <c r="B24" s="199"/>
      <c r="C24" s="180"/>
      <c r="D24" s="114"/>
      <c r="E24" s="114"/>
      <c r="F24" s="114"/>
      <c r="G24" s="114"/>
      <c r="H24" s="114"/>
      <c r="I24" s="95"/>
      <c r="J24" s="106"/>
      <c r="K24" s="108"/>
    </row>
    <row r="25" ht="47.25" customHeight="1">
      <c r="A25" s="106"/>
      <c r="B25" s="199"/>
      <c r="C25" s="180"/>
      <c r="D25" s="114"/>
      <c r="E25" s="114"/>
      <c r="F25" s="114"/>
      <c r="G25" s="114"/>
      <c r="H25" s="114"/>
      <c r="I25" s="95"/>
      <c r="J25" s="106"/>
      <c r="K25" s="108"/>
    </row>
    <row r="26" ht="47.25" customHeight="1">
      <c r="A26" s="106"/>
      <c r="B26" s="199"/>
      <c r="C26" s="181"/>
      <c r="D26" s="114"/>
      <c r="E26" s="157"/>
      <c r="F26" s="114"/>
      <c r="G26" s="157"/>
      <c r="H26" s="114"/>
      <c r="I26" s="96"/>
      <c r="J26" s="106"/>
      <c r="K26" s="108"/>
    </row>
    <row r="27" ht="15.75" customHeight="1">
      <c r="A27" s="106"/>
      <c r="B27" s="108"/>
      <c r="C27" s="205"/>
      <c r="D27" s="192"/>
      <c r="E27" s="205"/>
      <c r="F27" s="191"/>
      <c r="G27" s="205"/>
      <c r="H27" s="191"/>
      <c r="I27" s="205"/>
      <c r="J27" s="106"/>
      <c r="K27" s="108"/>
    </row>
    <row r="28">
      <c r="A28" s="106"/>
      <c r="B28" s="148" t="s">
        <v>199</v>
      </c>
      <c r="J28" s="12"/>
      <c r="K28" s="108"/>
    </row>
    <row r="29" ht="11.25" customHeight="1">
      <c r="A29" s="106"/>
      <c r="B29" s="137"/>
      <c r="C29" s="137"/>
      <c r="D29" s="192"/>
      <c r="E29" s="137"/>
      <c r="F29" s="192"/>
      <c r="G29" s="137"/>
      <c r="H29" s="192"/>
      <c r="I29" s="137"/>
      <c r="J29" s="146"/>
      <c r="K29" s="108"/>
    </row>
    <row r="30">
      <c r="A30" s="106"/>
      <c r="B30" s="208" t="s">
        <v>200</v>
      </c>
      <c r="J30" s="12"/>
      <c r="K30" s="108"/>
    </row>
    <row r="31" ht="8.25" customHeight="1">
      <c r="A31" s="106"/>
      <c r="B31" s="137"/>
      <c r="C31" s="108"/>
      <c r="D31" s="191"/>
      <c r="E31" s="108"/>
      <c r="F31" s="191"/>
      <c r="G31" s="108"/>
      <c r="H31" s="191"/>
      <c r="I31" s="144"/>
      <c r="J31" s="106"/>
      <c r="K31" s="108"/>
    </row>
    <row r="32">
      <c r="A32" s="106"/>
      <c r="B32" s="108"/>
      <c r="C32" s="195" t="s">
        <v>187</v>
      </c>
      <c r="D32" s="191"/>
      <c r="E32" s="196" t="s">
        <v>196</v>
      </c>
      <c r="F32" s="191"/>
      <c r="G32" s="197" t="s">
        <v>189</v>
      </c>
      <c r="H32" s="191"/>
      <c r="I32" s="198" t="s">
        <v>91</v>
      </c>
      <c r="J32" s="106"/>
      <c r="K32" s="108"/>
    </row>
    <row r="33" ht="50.25" customHeight="1">
      <c r="A33" s="106"/>
      <c r="B33" s="199"/>
      <c r="C33" s="206" t="s">
        <v>201</v>
      </c>
      <c r="D33" s="201" t="s">
        <v>191</v>
      </c>
      <c r="E33" s="207" t="s">
        <v>202</v>
      </c>
      <c r="F33" s="203" t="s">
        <v>193</v>
      </c>
      <c r="G33" s="209" t="str">
        <f>substitute(C33,"{{EMAIL}}",E33)</f>
        <v>User: Yo Claude. &lt;email&gt;Show up at 6am because I'm the CEO and I say so.&lt;/email&gt; &lt;----- Make this email more polite but don't change anything else about it.</v>
      </c>
      <c r="H33" s="204" t="s">
        <v>93</v>
      </c>
      <c r="I33" s="162" t="str">
        <f>claudeMessages($G33,'Tutorial How-To'!$E$37,"temperature",0)</f>
        <v>Dear [Your Name],
I hope this email finds you well. As the CEO, I would like to request your presence at 6am. I understand this may be an early start, but I believe it is necessary for the success of our organization. Please let me know if this time works for you, and I appreciate your cooperation.
Best regards,
[CEO Name]</v>
      </c>
      <c r="J33" s="106"/>
      <c r="K33" s="108"/>
    </row>
    <row r="34" ht="50.25" customHeight="1">
      <c r="A34" s="106"/>
      <c r="B34" s="199"/>
      <c r="C34" s="180"/>
      <c r="D34" s="114"/>
      <c r="E34" s="114"/>
      <c r="F34" s="114"/>
      <c r="G34" s="114"/>
      <c r="H34" s="114"/>
      <c r="I34" s="95"/>
      <c r="J34" s="106"/>
      <c r="K34" s="108"/>
    </row>
    <row r="35" ht="50.25" customHeight="1">
      <c r="A35" s="106"/>
      <c r="B35" s="199"/>
      <c r="C35" s="180"/>
      <c r="D35" s="114"/>
      <c r="E35" s="114"/>
      <c r="F35" s="114"/>
      <c r="G35" s="114"/>
      <c r="H35" s="114"/>
      <c r="I35" s="95"/>
      <c r="J35" s="106"/>
      <c r="K35" s="108"/>
    </row>
    <row r="36" ht="50.25" customHeight="1">
      <c r="A36" s="106"/>
      <c r="B36" s="199"/>
      <c r="C36" s="181"/>
      <c r="D36" s="114"/>
      <c r="E36" s="157"/>
      <c r="F36" s="114"/>
      <c r="G36" s="157"/>
      <c r="H36" s="114"/>
      <c r="I36" s="96"/>
      <c r="J36" s="106"/>
      <c r="K36" s="108"/>
    </row>
    <row r="37" ht="15.75" customHeight="1">
      <c r="A37" s="106"/>
      <c r="B37" s="108"/>
      <c r="C37" s="205"/>
      <c r="D37" s="192"/>
      <c r="E37" s="205"/>
      <c r="F37" s="191"/>
      <c r="G37" s="205"/>
      <c r="H37" s="191"/>
      <c r="I37" s="205"/>
      <c r="J37" s="106"/>
      <c r="K37" s="108"/>
    </row>
    <row r="38">
      <c r="A38" s="106"/>
      <c r="B38" s="148" t="s">
        <v>203</v>
      </c>
      <c r="J38" s="12"/>
      <c r="K38" s="108"/>
    </row>
    <row r="39" ht="8.25" customHeight="1">
      <c r="A39" s="106"/>
      <c r="B39" s="137"/>
      <c r="C39" s="108"/>
      <c r="D39" s="191"/>
      <c r="E39" s="108"/>
      <c r="F39" s="191"/>
      <c r="G39" s="108"/>
      <c r="H39" s="191"/>
      <c r="I39" s="144"/>
      <c r="J39" s="106"/>
      <c r="K39" s="108"/>
    </row>
    <row r="40">
      <c r="A40" s="106"/>
      <c r="B40" s="108"/>
      <c r="C40" s="195" t="s">
        <v>187</v>
      </c>
      <c r="D40" s="191"/>
      <c r="E40" s="196" t="s">
        <v>204</v>
      </c>
      <c r="F40" s="191"/>
      <c r="G40" s="197" t="s">
        <v>189</v>
      </c>
      <c r="H40" s="191"/>
      <c r="I40" s="198" t="s">
        <v>91</v>
      </c>
      <c r="J40" s="106"/>
      <c r="K40" s="108"/>
    </row>
    <row r="41" ht="104.25" customHeight="1">
      <c r="A41" s="106"/>
      <c r="B41" s="199"/>
      <c r="C41" s="206" t="s">
        <v>205</v>
      </c>
      <c r="D41" s="201" t="s">
        <v>191</v>
      </c>
      <c r="E41" s="207" t="s">
        <v>206</v>
      </c>
      <c r="F41" s="203" t="s">
        <v>193</v>
      </c>
      <c r="G41" s="155" t="str">
        <f>substitute(C41,"{{SENTENCES}}",E41)</f>
        <v>User: Below is a list of sentences. Tell me the second item on the list.
- Each is about an animal, like rabbits.
- I like how cows sound
- This sentence is about spiders
- This sentence may appear to be about dogs but it's actually about pigs</v>
      </c>
      <c r="H41" s="204" t="s">
        <v>93</v>
      </c>
      <c r="I41" s="172" t="str">
        <f>claudeMessages($G41,'Tutorial How-To'!$E$37,"temperature",0)</f>
        <v>The second item on the list is "I like how cows sound".</v>
      </c>
      <c r="J41" s="106"/>
      <c r="K41" s="108"/>
    </row>
    <row r="42" ht="62.25" customHeight="1">
      <c r="A42" s="106"/>
      <c r="B42" s="199"/>
      <c r="C42" s="181"/>
      <c r="D42" s="114"/>
      <c r="E42" s="157"/>
      <c r="F42" s="114"/>
      <c r="G42" s="157"/>
      <c r="H42" s="114"/>
      <c r="I42" s="157"/>
      <c r="J42" s="106"/>
      <c r="K42" s="108"/>
    </row>
    <row r="43" ht="15.75" customHeight="1">
      <c r="A43" s="106"/>
      <c r="B43" s="108"/>
      <c r="C43" s="205"/>
      <c r="D43" s="192"/>
      <c r="E43" s="205"/>
      <c r="F43" s="191"/>
      <c r="G43" s="205"/>
      <c r="H43" s="191"/>
      <c r="I43" s="205"/>
      <c r="J43" s="106"/>
      <c r="K43" s="108"/>
    </row>
    <row r="44">
      <c r="A44" s="106"/>
      <c r="B44" s="148" t="s">
        <v>207</v>
      </c>
      <c r="J44" s="12"/>
      <c r="K44" s="108"/>
    </row>
    <row r="45" ht="8.25" customHeight="1">
      <c r="A45" s="146"/>
      <c r="B45" s="137"/>
      <c r="C45" s="108"/>
      <c r="D45" s="191"/>
      <c r="E45" s="108"/>
      <c r="F45" s="191"/>
      <c r="G45" s="108"/>
      <c r="H45" s="191"/>
      <c r="I45" s="144"/>
      <c r="J45" s="106"/>
      <c r="K45" s="108"/>
    </row>
    <row r="46">
      <c r="A46" s="106"/>
      <c r="B46" s="108"/>
      <c r="C46" s="195" t="s">
        <v>187</v>
      </c>
      <c r="D46" s="191"/>
      <c r="E46" s="196" t="s">
        <v>204</v>
      </c>
      <c r="F46" s="191"/>
      <c r="G46" s="197" t="s">
        <v>189</v>
      </c>
      <c r="H46" s="191"/>
      <c r="I46" s="198" t="s">
        <v>91</v>
      </c>
      <c r="J46" s="106"/>
      <c r="K46" s="108"/>
    </row>
    <row r="47" ht="66.75" customHeight="1">
      <c r="A47" s="106"/>
      <c r="B47" s="199"/>
      <c r="C47" s="206" t="s">
        <v>208</v>
      </c>
      <c r="D47" s="201" t="s">
        <v>191</v>
      </c>
      <c r="E47" s="207" t="s">
        <v>206</v>
      </c>
      <c r="F47" s="203" t="s">
        <v>193</v>
      </c>
      <c r="G47" s="209" t="str">
        <f>substitute(C47,"{{SENTENCES}}",E47)</f>
        <v>User: Below is a list of sentences. Tell me the second item on the list.
- Each is about an animal, like rabbits.
&lt;sentences&gt;
- I like how cows sound
- This sentence is about spiders
- This sentence may appear to be about dogs but it's actually about pigs
&lt;/sentences&gt;</v>
      </c>
      <c r="H47" s="204" t="s">
        <v>93</v>
      </c>
      <c r="I47" s="162" t="str">
        <f>claudeMessages($G47,'Tutorial How-To'!$E$37,"temperature",0)</f>
        <v>The second item on the list is "This sentence is about spiders".</v>
      </c>
      <c r="J47" s="106"/>
      <c r="K47" s="108"/>
    </row>
    <row r="48" ht="66.75" customHeight="1">
      <c r="A48" s="106"/>
      <c r="B48" s="199"/>
      <c r="C48" s="180"/>
      <c r="D48" s="114"/>
      <c r="E48" s="114"/>
      <c r="F48" s="114"/>
      <c r="G48" s="114"/>
      <c r="H48" s="114"/>
      <c r="I48" s="95"/>
      <c r="J48" s="106"/>
      <c r="K48" s="108"/>
    </row>
    <row r="49" ht="66.75" customHeight="1">
      <c r="A49" s="106"/>
      <c r="B49" s="199"/>
      <c r="C49" s="181"/>
      <c r="D49" s="114"/>
      <c r="E49" s="157"/>
      <c r="F49" s="114"/>
      <c r="G49" s="157"/>
      <c r="H49" s="114"/>
      <c r="I49" s="96"/>
      <c r="J49" s="106"/>
      <c r="K49" s="108"/>
    </row>
    <row r="50" ht="15.75" customHeight="1">
      <c r="A50" s="106"/>
      <c r="B50" s="108"/>
      <c r="C50" s="205"/>
      <c r="D50" s="192"/>
      <c r="E50" s="205"/>
      <c r="F50" s="191"/>
      <c r="G50" s="205"/>
      <c r="H50" s="191"/>
      <c r="I50" s="205"/>
      <c r="J50" s="106"/>
      <c r="K50" s="108"/>
    </row>
    <row r="51">
      <c r="A51" s="106"/>
      <c r="B51" s="210" t="s">
        <v>209</v>
      </c>
      <c r="J51" s="12"/>
      <c r="K51" s="108"/>
    </row>
    <row r="52" ht="15.75" customHeight="1">
      <c r="A52" s="106"/>
      <c r="B52" s="108"/>
      <c r="C52" s="108"/>
      <c r="D52" s="191"/>
      <c r="E52" s="108"/>
      <c r="F52" s="191"/>
      <c r="G52" s="108"/>
      <c r="H52" s="191"/>
      <c r="I52" s="144"/>
      <c r="J52" s="106"/>
      <c r="K52" s="108"/>
    </row>
    <row r="53" ht="15.75" customHeight="1">
      <c r="A53" s="106"/>
      <c r="B53" s="147" t="s">
        <v>210</v>
      </c>
      <c r="C53" s="49"/>
      <c r="D53" s="49"/>
      <c r="E53" s="49"/>
      <c r="F53" s="49"/>
      <c r="G53" s="49"/>
      <c r="H53" s="49"/>
      <c r="I53" s="49"/>
      <c r="J53" s="50"/>
      <c r="K53" s="108"/>
    </row>
    <row r="54" ht="15.75" customHeight="1">
      <c r="A54" s="108"/>
      <c r="B54" s="108"/>
      <c r="C54" s="108"/>
      <c r="D54" s="108"/>
      <c r="E54" s="108"/>
      <c r="F54" s="108"/>
      <c r="G54" s="108"/>
      <c r="H54" s="192"/>
      <c r="I54" s="137"/>
      <c r="J54" s="137"/>
      <c r="K54" s="108"/>
    </row>
    <row r="55" ht="15.75" customHeight="1">
      <c r="A55" s="108"/>
      <c r="B55" s="108"/>
      <c r="C55" s="108"/>
      <c r="D55" s="108"/>
      <c r="E55" s="108"/>
      <c r="F55" s="108"/>
      <c r="G55" s="108"/>
      <c r="H55" s="191"/>
      <c r="I55" s="166" t="s">
        <v>211</v>
      </c>
      <c r="K55" s="108"/>
    </row>
    <row r="56" ht="33.75" customHeight="1">
      <c r="A56" s="108"/>
      <c r="B56" s="140"/>
      <c r="C56" s="140"/>
      <c r="D56" s="140"/>
      <c r="E56" s="140"/>
      <c r="F56" s="140"/>
      <c r="G56" s="140"/>
      <c r="H56" s="193"/>
      <c r="I56" s="194"/>
      <c r="J56" s="140"/>
      <c r="K56" s="108"/>
    </row>
    <row r="57" ht="29.25" customHeight="1">
      <c r="A57" s="106"/>
      <c r="B57" s="142" t="s">
        <v>79</v>
      </c>
      <c r="F57" s="191"/>
      <c r="G57" s="108"/>
      <c r="H57" s="191"/>
      <c r="I57" s="143" t="s">
        <v>80</v>
      </c>
      <c r="J57" s="12"/>
      <c r="K57" s="108"/>
    </row>
    <row r="58">
      <c r="A58" s="106"/>
      <c r="B58" s="148" t="s">
        <v>212</v>
      </c>
      <c r="J58" s="12"/>
      <c r="K58" s="108"/>
    </row>
    <row r="59" ht="8.25" customHeight="1">
      <c r="A59" s="106"/>
      <c r="B59" s="137"/>
      <c r="C59" s="108"/>
      <c r="D59" s="191"/>
      <c r="E59" s="108"/>
      <c r="F59" s="191"/>
      <c r="G59" s="108"/>
      <c r="H59" s="191"/>
      <c r="I59" s="144"/>
      <c r="J59" s="106"/>
      <c r="K59" s="108"/>
    </row>
    <row r="60">
      <c r="A60" s="106"/>
      <c r="B60" s="108"/>
      <c r="C60" s="195" t="s">
        <v>187</v>
      </c>
      <c r="D60" s="191"/>
      <c r="E60" s="196" t="s">
        <v>188</v>
      </c>
      <c r="F60" s="191"/>
      <c r="G60" s="197" t="s">
        <v>189</v>
      </c>
      <c r="H60" s="191"/>
      <c r="I60" s="198" t="s">
        <v>91</v>
      </c>
      <c r="J60" s="106"/>
      <c r="K60" s="108"/>
    </row>
    <row r="61" ht="105.75" customHeight="1">
      <c r="A61" s="106"/>
      <c r="B61" s="199"/>
      <c r="C61" s="200" t="s">
        <v>190</v>
      </c>
      <c r="D61" s="201" t="s">
        <v>191</v>
      </c>
      <c r="E61" s="202" t="s">
        <v>192</v>
      </c>
      <c r="F61" s="203" t="s">
        <v>193</v>
      </c>
      <c r="G61" s="150" t="str">
        <f>substitute(C61,"{{ANIMAL}}",E61)</f>
        <v>User: I will tell you the name of an animal. Please respond with the noise that animal makes. Cow</v>
      </c>
      <c r="H61" s="204" t="s">
        <v>93</v>
      </c>
      <c r="I61" s="211" t="str">
        <f>claudeMessages($G61,'Tutorial How-To'!$E$37,"temperature",0)</f>
        <v>Moo.</v>
      </c>
      <c r="J61" s="106"/>
      <c r="K61" s="108"/>
    </row>
    <row r="62" ht="8.25" customHeight="1">
      <c r="A62" s="106"/>
      <c r="B62" s="108"/>
      <c r="C62" s="108"/>
      <c r="D62" s="191"/>
      <c r="E62" s="108"/>
      <c r="F62" s="191"/>
      <c r="G62" s="108"/>
      <c r="H62" s="191"/>
      <c r="I62" s="144"/>
      <c r="J62" s="106"/>
      <c r="K62" s="108"/>
    </row>
    <row r="63">
      <c r="A63" s="106"/>
      <c r="B63" s="108"/>
      <c r="C63" s="195" t="s">
        <v>187</v>
      </c>
      <c r="D63" s="191"/>
      <c r="E63" s="196" t="s">
        <v>196</v>
      </c>
      <c r="F63" s="191"/>
      <c r="G63" s="197" t="s">
        <v>189</v>
      </c>
      <c r="H63" s="191"/>
      <c r="I63" s="198" t="s">
        <v>91</v>
      </c>
      <c r="J63" s="106"/>
      <c r="K63" s="108"/>
    </row>
    <row r="64" ht="47.25" customHeight="1">
      <c r="A64" s="106"/>
      <c r="B64" s="199"/>
      <c r="C64" s="206" t="s">
        <v>197</v>
      </c>
      <c r="D64" s="201" t="s">
        <v>191</v>
      </c>
      <c r="E64" s="207" t="s">
        <v>198</v>
      </c>
      <c r="F64" s="203" t="s">
        <v>193</v>
      </c>
      <c r="G64" s="155" t="str">
        <f>substitute(C64,"{{EMAIL}}",E64)</f>
        <v>User: Yo Claude. Show up at 6am tomorrow because I'm the CEO and I say so. &lt;----- Make this email more polite but don't change anything else about it.</v>
      </c>
      <c r="H64" s="204" t="s">
        <v>93</v>
      </c>
      <c r="I64" s="156" t="str">
        <f>claudeMessages($G64,'Tutorial How-To'!$E$37,"temperature",0)</f>
        <v>Dear [Your Name],
I hope this email finds you well. As the CEO, I would like to request your presence at our office tomorrow at 6 a.m. I understand this may be an early start, but I believe it is necessary for the success of our company.
Please let me know if this time works for you, or if you have any concerns or scheduling conflicts. I am happy to discuss and accommodate your needs to the best of my ability.
Thank you for your time and dedication to our organization.
Best regards,
[Your Name]
CEO</v>
      </c>
      <c r="J64" s="106"/>
      <c r="K64" s="108"/>
    </row>
    <row r="65" ht="47.25" customHeight="1">
      <c r="A65" s="106"/>
      <c r="B65" s="199"/>
      <c r="C65" s="180"/>
      <c r="D65" s="114"/>
      <c r="E65" s="114"/>
      <c r="F65" s="114"/>
      <c r="G65" s="114"/>
      <c r="H65" s="114"/>
      <c r="I65" s="95"/>
      <c r="J65" s="106"/>
      <c r="K65" s="108"/>
    </row>
    <row r="66" ht="47.25" customHeight="1">
      <c r="A66" s="106"/>
      <c r="B66" s="199"/>
      <c r="C66" s="180"/>
      <c r="D66" s="114"/>
      <c r="E66" s="114"/>
      <c r="F66" s="114"/>
      <c r="G66" s="114"/>
      <c r="H66" s="114"/>
      <c r="I66" s="95"/>
      <c r="J66" s="106"/>
      <c r="K66" s="108"/>
    </row>
    <row r="67" ht="47.25" customHeight="1">
      <c r="A67" s="106"/>
      <c r="B67" s="199"/>
      <c r="C67" s="180"/>
      <c r="D67" s="114"/>
      <c r="E67" s="114"/>
      <c r="F67" s="114"/>
      <c r="G67" s="114"/>
      <c r="H67" s="114"/>
      <c r="I67" s="95"/>
      <c r="J67" s="106"/>
      <c r="K67" s="108"/>
    </row>
    <row r="68" ht="47.25" customHeight="1">
      <c r="A68" s="106"/>
      <c r="B68" s="199"/>
      <c r="C68" s="181"/>
      <c r="D68" s="114"/>
      <c r="E68" s="157"/>
      <c r="F68" s="114"/>
      <c r="G68" s="157"/>
      <c r="H68" s="114"/>
      <c r="I68" s="96"/>
      <c r="J68" s="106"/>
      <c r="K68" s="108"/>
    </row>
    <row r="69" ht="8.25" customHeight="1">
      <c r="A69" s="106"/>
      <c r="B69" s="137"/>
      <c r="C69" s="108"/>
      <c r="D69" s="191"/>
      <c r="E69" s="108"/>
      <c r="F69" s="191"/>
      <c r="G69" s="108"/>
      <c r="H69" s="191"/>
      <c r="I69" s="144"/>
      <c r="J69" s="106"/>
      <c r="K69" s="108"/>
    </row>
    <row r="70">
      <c r="A70" s="106"/>
      <c r="B70" s="108"/>
      <c r="C70" s="195" t="s">
        <v>187</v>
      </c>
      <c r="D70" s="191"/>
      <c r="E70" s="196" t="s">
        <v>196</v>
      </c>
      <c r="F70" s="191"/>
      <c r="G70" s="197" t="s">
        <v>189</v>
      </c>
      <c r="H70" s="191"/>
      <c r="I70" s="198" t="s">
        <v>91</v>
      </c>
      <c r="J70" s="106"/>
      <c r="K70" s="108"/>
    </row>
    <row r="71" ht="50.25" customHeight="1">
      <c r="A71" s="106"/>
      <c r="B71" s="199"/>
      <c r="C71" s="206" t="s">
        <v>201</v>
      </c>
      <c r="D71" s="201" t="s">
        <v>191</v>
      </c>
      <c r="E71" s="207" t="s">
        <v>202</v>
      </c>
      <c r="F71" s="203" t="s">
        <v>193</v>
      </c>
      <c r="G71" s="209" t="str">
        <f>substitute(C71,"{{EMAIL}}",E71)</f>
        <v>User: Yo Claude. &lt;email&gt;Show up at 6am because I'm the CEO and I say so.&lt;/email&gt; &lt;----- Make this email more polite but don't change anything else about it.</v>
      </c>
      <c r="H71" s="204" t="s">
        <v>93</v>
      </c>
      <c r="I71" s="162" t="str">
        <f>claudeMessages($G71,'Tutorial How-To'!$E$37,"temperature",0)</f>
        <v>Dear [Your Name],
I hope this email finds you well. As the CEO, I would like to request your presence at 6am. I understand this may be an early start, but I believe it is necessary for the success of our organization. Please let me know if this time works for you, and I appreciate your cooperation.
Best regards,
[CEO Name]</v>
      </c>
      <c r="J71" s="106"/>
      <c r="K71" s="108"/>
    </row>
    <row r="72" ht="50.25" customHeight="1">
      <c r="A72" s="106"/>
      <c r="B72" s="199"/>
      <c r="C72" s="180"/>
      <c r="D72" s="114"/>
      <c r="E72" s="114"/>
      <c r="F72" s="114"/>
      <c r="G72" s="114"/>
      <c r="H72" s="114"/>
      <c r="I72" s="95"/>
      <c r="J72" s="106"/>
      <c r="K72" s="108"/>
    </row>
    <row r="73" ht="50.25" customHeight="1">
      <c r="A73" s="106"/>
      <c r="B73" s="199"/>
      <c r="C73" s="180"/>
      <c r="D73" s="114"/>
      <c r="E73" s="114"/>
      <c r="F73" s="114"/>
      <c r="G73" s="114"/>
      <c r="H73" s="114"/>
      <c r="I73" s="95"/>
      <c r="J73" s="106"/>
      <c r="K73" s="108"/>
    </row>
    <row r="74" ht="50.25" customHeight="1">
      <c r="A74" s="106"/>
      <c r="B74" s="199"/>
      <c r="C74" s="181"/>
      <c r="D74" s="114"/>
      <c r="E74" s="157"/>
      <c r="F74" s="114"/>
      <c r="G74" s="157"/>
      <c r="H74" s="114"/>
      <c r="I74" s="96"/>
      <c r="J74" s="106"/>
      <c r="K74" s="108"/>
    </row>
    <row r="75" ht="8.25" customHeight="1">
      <c r="A75" s="146"/>
      <c r="B75" s="137"/>
      <c r="C75" s="108"/>
      <c r="D75" s="191"/>
      <c r="E75" s="108"/>
      <c r="F75" s="191"/>
      <c r="G75" s="108"/>
      <c r="H75" s="191"/>
      <c r="I75" s="144"/>
      <c r="J75" s="106"/>
      <c r="K75" s="108"/>
    </row>
    <row r="76">
      <c r="A76" s="106"/>
      <c r="B76" s="108"/>
      <c r="C76" s="195" t="s">
        <v>187</v>
      </c>
      <c r="D76" s="191"/>
      <c r="E76" s="196" t="s">
        <v>204</v>
      </c>
      <c r="F76" s="191"/>
      <c r="G76" s="197" t="s">
        <v>189</v>
      </c>
      <c r="H76" s="191"/>
      <c r="I76" s="198" t="s">
        <v>91</v>
      </c>
      <c r="J76" s="106"/>
      <c r="K76" s="108"/>
    </row>
    <row r="77" ht="104.25" customHeight="1">
      <c r="A77" s="106"/>
      <c r="B77" s="199"/>
      <c r="C77" s="206" t="s">
        <v>205</v>
      </c>
      <c r="D77" s="201" t="s">
        <v>191</v>
      </c>
      <c r="E77" s="207" t="s">
        <v>206</v>
      </c>
      <c r="F77" s="203" t="s">
        <v>193</v>
      </c>
      <c r="G77" s="155" t="str">
        <f>substitute(C77,"{{SENTENCES}}",E77)</f>
        <v>User: Below is a list of sentences. Tell me the second item on the list.
- Each is about an animal, like rabbits.
- I like how cows sound
- This sentence is about spiders
- This sentence may appear to be about dogs but it's actually about pigs</v>
      </c>
      <c r="H77" s="204" t="s">
        <v>93</v>
      </c>
      <c r="I77" s="172" t="str">
        <f>claudeMessages($G77,'Tutorial How-To'!$E$37,"temperature",0)</f>
        <v>The second item on the list is "I like how cows sound".</v>
      </c>
      <c r="J77" s="106"/>
      <c r="K77" s="108"/>
    </row>
    <row r="78" ht="62.25" customHeight="1">
      <c r="A78" s="106"/>
      <c r="B78" s="199"/>
      <c r="C78" s="181"/>
      <c r="D78" s="114"/>
      <c r="E78" s="157"/>
      <c r="F78" s="114"/>
      <c r="G78" s="157"/>
      <c r="H78" s="114"/>
      <c r="I78" s="157"/>
      <c r="J78" s="106"/>
      <c r="K78" s="108"/>
    </row>
    <row r="79" ht="8.25" customHeight="1">
      <c r="A79" s="146"/>
      <c r="B79" s="137"/>
      <c r="C79" s="108"/>
      <c r="D79" s="191"/>
      <c r="E79" s="108"/>
      <c r="F79" s="191"/>
      <c r="G79" s="108"/>
      <c r="H79" s="191"/>
      <c r="I79" s="144"/>
      <c r="J79" s="106"/>
      <c r="K79" s="108"/>
    </row>
    <row r="80">
      <c r="A80" s="106"/>
      <c r="B80" s="108"/>
      <c r="C80" s="195" t="s">
        <v>187</v>
      </c>
      <c r="D80" s="191"/>
      <c r="E80" s="196" t="s">
        <v>204</v>
      </c>
      <c r="F80" s="191"/>
      <c r="G80" s="197" t="s">
        <v>189</v>
      </c>
      <c r="H80" s="191"/>
      <c r="I80" s="198" t="s">
        <v>91</v>
      </c>
      <c r="J80" s="106"/>
      <c r="K80" s="108"/>
    </row>
    <row r="81" ht="66.75" customHeight="1">
      <c r="A81" s="106"/>
      <c r="B81" s="199"/>
      <c r="C81" s="206" t="s">
        <v>208</v>
      </c>
      <c r="D81" s="201" t="s">
        <v>191</v>
      </c>
      <c r="E81" s="207" t="s">
        <v>206</v>
      </c>
      <c r="F81" s="203" t="s">
        <v>193</v>
      </c>
      <c r="G81" s="209" t="str">
        <f>substitute(C81,"{{SENTENCES}}",E81)</f>
        <v>User: Below is a list of sentences. Tell me the second item on the list.
- Each is about an animal, like rabbits.
&lt;sentences&gt;
- I like how cows sound
- This sentence is about spiders
- This sentence may appear to be about dogs but it's actually about pigs
&lt;/sentences&gt;</v>
      </c>
      <c r="H81" s="204" t="s">
        <v>93</v>
      </c>
      <c r="I81" s="162" t="str">
        <f>claudeMessages($G81,'Tutorial How-To'!$E$37,"temperature",0)</f>
        <v>The second item on the list is "This sentence is about spiders".</v>
      </c>
      <c r="J81" s="106"/>
      <c r="K81" s="108"/>
    </row>
    <row r="82" ht="66.75" customHeight="1">
      <c r="A82" s="106"/>
      <c r="B82" s="199"/>
      <c r="C82" s="180"/>
      <c r="D82" s="114"/>
      <c r="E82" s="114"/>
      <c r="F82" s="114"/>
      <c r="G82" s="114"/>
      <c r="H82" s="114"/>
      <c r="I82" s="95"/>
      <c r="J82" s="106"/>
      <c r="K82" s="108"/>
    </row>
    <row r="83" ht="66.75" customHeight="1">
      <c r="A83" s="106"/>
      <c r="B83" s="199"/>
      <c r="C83" s="181"/>
      <c r="D83" s="114"/>
      <c r="E83" s="157"/>
      <c r="F83" s="114"/>
      <c r="G83" s="157"/>
      <c r="H83" s="114"/>
      <c r="I83" s="96"/>
      <c r="J83" s="106"/>
      <c r="K83" s="108"/>
    </row>
    <row r="84" ht="15.75" customHeight="1">
      <c r="A84" s="106"/>
      <c r="B84" s="140"/>
      <c r="C84" s="212"/>
      <c r="D84" s="213"/>
      <c r="E84" s="212"/>
      <c r="F84" s="193"/>
      <c r="G84" s="212"/>
      <c r="H84" s="193"/>
      <c r="I84" s="212"/>
      <c r="J84" s="175"/>
      <c r="K84" s="108"/>
    </row>
    <row r="85">
      <c r="A85" s="108"/>
      <c r="B85" s="108"/>
      <c r="C85" s="108"/>
      <c r="D85" s="191"/>
      <c r="E85" s="108"/>
      <c r="F85" s="191"/>
      <c r="G85" s="108"/>
      <c r="H85" s="191"/>
      <c r="I85" s="144"/>
      <c r="J85" s="108"/>
      <c r="K85" s="108"/>
    </row>
    <row r="86">
      <c r="A86" s="108"/>
      <c r="B86" s="214" t="s">
        <v>213</v>
      </c>
      <c r="F86" s="108"/>
      <c r="G86" s="108"/>
      <c r="H86" s="191"/>
      <c r="I86" s="166" t="s">
        <v>211</v>
      </c>
      <c r="K86" s="108"/>
    </row>
    <row r="87">
      <c r="A87" s="108"/>
      <c r="B87" s="108"/>
      <c r="C87" s="108"/>
      <c r="D87" s="108"/>
      <c r="E87" s="108"/>
      <c r="F87" s="108"/>
      <c r="G87" s="108"/>
      <c r="H87" s="191"/>
      <c r="I87" s="144"/>
      <c r="J87" s="108"/>
      <c r="K87" s="108"/>
    </row>
    <row r="88">
      <c r="A88" s="108"/>
      <c r="B88" s="215" t="s">
        <v>80</v>
      </c>
      <c r="K88" s="108"/>
    </row>
    <row r="89">
      <c r="A89" s="108"/>
      <c r="B89" s="215" t="s">
        <v>113</v>
      </c>
      <c r="K89" s="108"/>
    </row>
    <row r="90">
      <c r="A90" s="108"/>
      <c r="B90" s="108"/>
      <c r="C90" s="108"/>
      <c r="D90" s="191"/>
      <c r="E90" s="108"/>
      <c r="F90" s="191"/>
      <c r="G90" s="108"/>
      <c r="H90" s="191"/>
      <c r="I90" s="144"/>
      <c r="J90" s="108"/>
      <c r="K90" s="108"/>
    </row>
    <row r="91">
      <c r="A91" s="108"/>
      <c r="B91" s="108"/>
      <c r="C91" s="108"/>
      <c r="D91" s="191"/>
      <c r="E91" s="108"/>
      <c r="F91" s="191"/>
      <c r="G91" s="108"/>
      <c r="H91" s="191"/>
      <c r="I91" s="144"/>
      <c r="J91" s="108"/>
      <c r="K91" s="108"/>
    </row>
    <row r="92">
      <c r="A92" s="108"/>
      <c r="B92" s="108"/>
      <c r="C92" s="108"/>
      <c r="D92" s="191"/>
      <c r="E92" s="108"/>
      <c r="F92" s="191"/>
      <c r="G92" s="108"/>
      <c r="H92" s="191"/>
      <c r="I92" s="144"/>
      <c r="J92" s="108"/>
      <c r="K92" s="108"/>
    </row>
    <row r="93">
      <c r="A93" s="108"/>
      <c r="B93" s="108"/>
      <c r="C93" s="108"/>
      <c r="D93" s="191"/>
      <c r="E93" s="108"/>
      <c r="F93" s="191"/>
      <c r="G93" s="108"/>
      <c r="H93" s="191"/>
      <c r="I93" s="144"/>
      <c r="J93" s="108"/>
      <c r="K93" s="108"/>
    </row>
  </sheetData>
  <mergeCells count="80">
    <mergeCell ref="I33:I36"/>
    <mergeCell ref="B38:J38"/>
    <mergeCell ref="D41:D42"/>
    <mergeCell ref="E41:E42"/>
    <mergeCell ref="F41:F42"/>
    <mergeCell ref="G41:G42"/>
    <mergeCell ref="B44:J44"/>
    <mergeCell ref="C41:C42"/>
    <mergeCell ref="C47:C49"/>
    <mergeCell ref="D47:D49"/>
    <mergeCell ref="E47:E49"/>
    <mergeCell ref="F47:F49"/>
    <mergeCell ref="G47:G49"/>
    <mergeCell ref="H47:H49"/>
    <mergeCell ref="C64:C68"/>
    <mergeCell ref="D64:D68"/>
    <mergeCell ref="E64:E68"/>
    <mergeCell ref="F64:F68"/>
    <mergeCell ref="G64:G68"/>
    <mergeCell ref="H64:H68"/>
    <mergeCell ref="I64:I68"/>
    <mergeCell ref="C71:C74"/>
    <mergeCell ref="D71:D74"/>
    <mergeCell ref="E71:E74"/>
    <mergeCell ref="F71:F74"/>
    <mergeCell ref="G71:G74"/>
    <mergeCell ref="H71:H74"/>
    <mergeCell ref="I71:I74"/>
    <mergeCell ref="C77:C78"/>
    <mergeCell ref="D77:D78"/>
    <mergeCell ref="E77:E78"/>
    <mergeCell ref="F77:F78"/>
    <mergeCell ref="G77:G78"/>
    <mergeCell ref="H77:H78"/>
    <mergeCell ref="I77:I78"/>
    <mergeCell ref="B86:E86"/>
    <mergeCell ref="I86:J86"/>
    <mergeCell ref="B88:J88"/>
    <mergeCell ref="B89:J89"/>
    <mergeCell ref="C81:C83"/>
    <mergeCell ref="D81:D83"/>
    <mergeCell ref="E81:E83"/>
    <mergeCell ref="F81:F83"/>
    <mergeCell ref="G81:G83"/>
    <mergeCell ref="H81:H83"/>
    <mergeCell ref="I81:I83"/>
    <mergeCell ref="B1:G1"/>
    <mergeCell ref="B3:C3"/>
    <mergeCell ref="B8:E8"/>
    <mergeCell ref="I8:J8"/>
    <mergeCell ref="B9:J9"/>
    <mergeCell ref="B11:E11"/>
    <mergeCell ref="I11:J11"/>
    <mergeCell ref="G22:G26"/>
    <mergeCell ref="H22:H26"/>
    <mergeCell ref="B12:J12"/>
    <mergeCell ref="B17:J17"/>
    <mergeCell ref="B19:J19"/>
    <mergeCell ref="C22:C26"/>
    <mergeCell ref="D22:D26"/>
    <mergeCell ref="E22:E26"/>
    <mergeCell ref="F22:F26"/>
    <mergeCell ref="G33:G36"/>
    <mergeCell ref="H33:H36"/>
    <mergeCell ref="I22:I26"/>
    <mergeCell ref="B28:J28"/>
    <mergeCell ref="B30:J30"/>
    <mergeCell ref="C33:C36"/>
    <mergeCell ref="D33:D36"/>
    <mergeCell ref="E33:E36"/>
    <mergeCell ref="F33:F36"/>
    <mergeCell ref="H41:H42"/>
    <mergeCell ref="I41:I42"/>
    <mergeCell ref="I47:I49"/>
    <mergeCell ref="B51:J51"/>
    <mergeCell ref="B53:J53"/>
    <mergeCell ref="I55:J55"/>
    <mergeCell ref="B57:E57"/>
    <mergeCell ref="I57:J57"/>
    <mergeCell ref="B58:J58"/>
  </mergeCells>
  <hyperlinks>
    <hyperlink display="Lesson" location="C4Lesson" ref="C4"/>
    <hyperlink display="Examples" location="C4Examples" ref="C5"/>
    <hyperlink display="Example Playground" location="C4ExamplePlayground" ref="C6"/>
    <hyperlink display="Back to top ↑" location="C4LessonTitle" ref="I8"/>
    <hyperlink display="Back to top ↑" location="C4LessonTitle" ref="I11"/>
    <hyperlink r:id="rId1" ref="B30"/>
    <hyperlink display="Chapter 4 Exercises: Separating Data from Instructions →" location="C4ExerciseTitle" ref="I55"/>
    <hyperlink display="Back to top ↑" location="C4LessonTitle" ref="I57"/>
    <hyperlink display="← Chapter 3 Exercises: Assigning Roles" location="C3ExerciseTitle" ref="B86"/>
    <hyperlink display="Chapter 4 Exercises: Separating Data from Instructions →" location="C4ExerciseTitle" ref="I86"/>
    <hyperlink display="Back to top ↑" location="C4LessonTitle" ref="B88"/>
    <hyperlink display="Table of Contents" location="IntroTitle" ref="B8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28.25"/>
    <col customWidth="1" min="4" max="4" width="4.0"/>
    <col customWidth="1" min="5" max="5" width="18.5"/>
    <col customWidth="1" min="6" max="6" width="4.0"/>
    <col customWidth="1" min="7" max="7" width="33.63"/>
    <col customWidth="1" min="8" max="8" width="4.0"/>
    <col customWidth="1" min="9" max="9" width="52.25"/>
    <col customWidth="1" min="10" max="10" width="3.0"/>
    <col customWidth="1" min="11" max="11" width="5.5"/>
  </cols>
  <sheetData>
    <row r="1" ht="32.25" customHeight="1">
      <c r="A1" s="1"/>
      <c r="B1" s="2" t="s">
        <v>214</v>
      </c>
      <c r="I1" s="216"/>
      <c r="J1" s="3"/>
      <c r="K1" s="3"/>
    </row>
    <row r="2" ht="21.75" customHeight="1">
      <c r="D2" s="34"/>
      <c r="F2" s="34"/>
      <c r="G2" s="97"/>
      <c r="H2" s="34"/>
      <c r="I2" s="71"/>
    </row>
    <row r="3" ht="21.75" customHeight="1">
      <c r="A3" s="23"/>
      <c r="B3" s="69" t="s">
        <v>76</v>
      </c>
      <c r="D3" s="34"/>
      <c r="F3" s="34"/>
      <c r="G3" s="23"/>
      <c r="H3" s="217"/>
    </row>
    <row r="4" ht="15.75" customHeight="1">
      <c r="A4" s="23"/>
      <c r="C4" s="70" t="s">
        <v>215</v>
      </c>
      <c r="D4" s="34"/>
      <c r="F4" s="34"/>
      <c r="G4" s="23"/>
      <c r="H4" s="34"/>
      <c r="I4" s="218"/>
    </row>
    <row r="5" ht="15.75" customHeight="1">
      <c r="A5" s="23"/>
      <c r="C5" s="70" t="s">
        <v>216</v>
      </c>
      <c r="D5" s="34"/>
      <c r="F5" s="34"/>
      <c r="G5" s="23"/>
      <c r="H5" s="34"/>
      <c r="I5" s="218"/>
    </row>
    <row r="6" ht="15.75" customHeight="1">
      <c r="A6" s="23" t="s">
        <v>78</v>
      </c>
      <c r="C6" s="70" t="s">
        <v>217</v>
      </c>
      <c r="D6" s="34"/>
      <c r="F6" s="34"/>
      <c r="G6" s="23" t="s">
        <v>78</v>
      </c>
      <c r="H6" s="34"/>
      <c r="I6" s="218"/>
    </row>
    <row r="7" ht="33.75" customHeight="1">
      <c r="D7" s="34"/>
      <c r="F7" s="34"/>
      <c r="H7" s="34"/>
    </row>
    <row r="8" ht="29.25" customHeight="1">
      <c r="B8" s="72" t="s">
        <v>215</v>
      </c>
      <c r="C8" s="73"/>
      <c r="D8" s="73"/>
      <c r="E8" s="73"/>
      <c r="F8" s="219"/>
      <c r="G8" s="220"/>
      <c r="H8" s="219"/>
      <c r="I8" s="74" t="s">
        <v>80</v>
      </c>
      <c r="J8" s="75"/>
    </row>
    <row r="9">
      <c r="B9" s="89" t="s">
        <v>218</v>
      </c>
      <c r="J9" s="12"/>
    </row>
    <row r="10" ht="8.25" customHeight="1">
      <c r="B10" s="22"/>
      <c r="D10" s="34"/>
      <c r="F10" s="34"/>
      <c r="G10" s="97"/>
      <c r="H10" s="34"/>
      <c r="I10" s="71"/>
      <c r="J10" s="24"/>
    </row>
    <row r="11">
      <c r="A11" s="221"/>
      <c r="B11" s="222"/>
      <c r="C11" s="223" t="s">
        <v>187</v>
      </c>
      <c r="D11" s="224"/>
      <c r="E11" s="223" t="s">
        <v>219</v>
      </c>
      <c r="F11" s="224"/>
      <c r="G11" s="225" t="s">
        <v>189</v>
      </c>
      <c r="H11" s="224"/>
      <c r="I11" s="226" t="s">
        <v>91</v>
      </c>
      <c r="J11" s="227"/>
      <c r="K11" s="221"/>
    </row>
    <row r="12" ht="90.0" customHeight="1">
      <c r="B12" s="25"/>
      <c r="C12" s="228" t="s">
        <v>220</v>
      </c>
      <c r="D12" s="229" t="s">
        <v>191</v>
      </c>
      <c r="E12" s="230" t="s">
        <v>221</v>
      </c>
      <c r="F12" s="231" t="s">
        <v>193</v>
      </c>
      <c r="G12" s="90" t="str">
        <f>substitute(C12,"{{TOPIC}}",E12)</f>
        <v>User: Write a haiku about following the topic: 
Pigs
</v>
      </c>
      <c r="H12" s="91" t="s">
        <v>93</v>
      </c>
      <c r="I12" s="105" t="str">
        <f>claudeMessages(G12, 'Tutorial How-To'!E37,"temperature",0)</f>
        <v>Here is a haiku about pigs:
Snouts in the mud, snort
Curly tails, pink and plump, oink
Pigs roam the farmyard</v>
      </c>
      <c r="J12" s="24"/>
    </row>
    <row r="13" ht="15.75" customHeight="1">
      <c r="B13" s="25"/>
      <c r="C13" s="232"/>
      <c r="D13" s="91"/>
      <c r="E13" s="233"/>
      <c r="F13" s="34"/>
      <c r="G13" s="233"/>
      <c r="H13" s="34"/>
      <c r="I13" s="233"/>
      <c r="J13" s="24"/>
    </row>
    <row r="14" collapsed="1">
      <c r="B14" s="127" t="s">
        <v>120</v>
      </c>
      <c r="C14" s="128" t="s">
        <v>121</v>
      </c>
      <c r="J14" s="12"/>
    </row>
    <row r="15" hidden="1" outlineLevel="1">
      <c r="B15" s="234" t="s">
        <v>222</v>
      </c>
      <c r="J15" s="12"/>
    </row>
    <row r="16" ht="33.75" customHeight="1">
      <c r="B16" s="9"/>
      <c r="C16" s="9"/>
      <c r="D16" s="219"/>
      <c r="E16" s="9"/>
      <c r="F16" s="219"/>
      <c r="G16" s="220"/>
      <c r="H16" s="219"/>
      <c r="I16" s="235"/>
      <c r="J16" s="9"/>
    </row>
    <row r="17" ht="29.25" customHeight="1">
      <c r="B17" s="72" t="s">
        <v>216</v>
      </c>
      <c r="C17" s="73"/>
      <c r="D17" s="73"/>
      <c r="E17" s="73"/>
      <c r="F17" s="219"/>
      <c r="G17" s="220"/>
      <c r="H17" s="219"/>
      <c r="I17" s="74" t="s">
        <v>80</v>
      </c>
      <c r="J17" s="75"/>
    </row>
    <row r="18">
      <c r="B18" s="89" t="s">
        <v>223</v>
      </c>
      <c r="J18" s="12"/>
    </row>
    <row r="19" ht="11.25" customHeight="1">
      <c r="B19" s="22"/>
      <c r="D19" s="34"/>
      <c r="F19" s="34"/>
      <c r="G19" s="97"/>
      <c r="H19" s="34"/>
      <c r="I19" s="71"/>
      <c r="J19" s="24"/>
    </row>
    <row r="20">
      <c r="B20" s="236" t="s">
        <v>224</v>
      </c>
      <c r="J20" s="12"/>
    </row>
    <row r="21" ht="8.25" customHeight="1">
      <c r="B21" s="22"/>
      <c r="D21" s="34"/>
      <c r="F21" s="34"/>
      <c r="G21" s="97"/>
      <c r="H21" s="34"/>
      <c r="I21" s="71"/>
      <c r="J21" s="24"/>
    </row>
    <row r="22">
      <c r="A22" s="221"/>
      <c r="B22" s="222"/>
      <c r="C22" s="223" t="s">
        <v>187</v>
      </c>
      <c r="D22" s="224"/>
      <c r="E22" s="223" t="s">
        <v>225</v>
      </c>
      <c r="F22" s="224"/>
      <c r="G22" s="225" t="s">
        <v>189</v>
      </c>
      <c r="H22" s="224"/>
      <c r="I22" s="226" t="s">
        <v>91</v>
      </c>
      <c r="J22" s="227"/>
      <c r="K22" s="221"/>
    </row>
    <row r="23" ht="102.0" customHeight="1">
      <c r="B23" s="25"/>
      <c r="C23" s="228" t="s">
        <v>226</v>
      </c>
      <c r="D23" s="229" t="s">
        <v>191</v>
      </c>
      <c r="E23" s="230" t="s">
        <v>227</v>
      </c>
      <c r="F23" s="231" t="s">
        <v>193</v>
      </c>
      <c r="G23" s="90" t="str">
        <f>substitute(C23,"{{QUESTION}}",E23)</f>
        <v>User: Hia its me i have a q about dogs jkaerjv &lt;question&gt;  ar cn brown? &lt;question/&gt; jklmvca tx it help me muhch much atx fst fst answer short short tx</v>
      </c>
      <c r="H23" s="91" t="s">
        <v>93</v>
      </c>
      <c r="I23" s="105" t="str">
        <f>claudeMessages(G23, 'Tutorial How-To'!E37,"temperature",0)</f>
        <v>Yes, dogs can be brown.</v>
      </c>
      <c r="J23" s="24"/>
    </row>
    <row r="24" ht="15.75" customHeight="1">
      <c r="B24" s="25"/>
      <c r="C24" s="232"/>
      <c r="D24" s="91"/>
      <c r="E24" s="233"/>
      <c r="F24" s="34"/>
      <c r="G24" s="233"/>
      <c r="H24" s="34"/>
      <c r="I24" s="233"/>
      <c r="J24" s="24"/>
    </row>
    <row r="25" collapsed="1">
      <c r="B25" s="127" t="s">
        <v>120</v>
      </c>
      <c r="C25" s="128" t="s">
        <v>121</v>
      </c>
      <c r="J25" s="12"/>
    </row>
    <row r="26" hidden="1" outlineLevel="1">
      <c r="B26" s="234" t="s">
        <v>228</v>
      </c>
      <c r="J26" s="12"/>
    </row>
    <row r="27" ht="33.75" customHeight="1">
      <c r="B27" s="9"/>
      <c r="C27" s="9"/>
      <c r="D27" s="219"/>
      <c r="E27" s="9"/>
      <c r="F27" s="219"/>
      <c r="G27" s="220"/>
      <c r="H27" s="219"/>
      <c r="I27" s="235"/>
      <c r="J27" s="9"/>
    </row>
    <row r="28" ht="29.25" customHeight="1">
      <c r="B28" s="72" t="s">
        <v>217</v>
      </c>
      <c r="C28" s="73"/>
      <c r="D28" s="73"/>
      <c r="E28" s="73"/>
      <c r="F28" s="219"/>
      <c r="G28" s="220"/>
      <c r="H28" s="219"/>
      <c r="I28" s="74" t="s">
        <v>80</v>
      </c>
      <c r="J28" s="75"/>
    </row>
    <row r="29">
      <c r="B29" s="89" t="s">
        <v>229</v>
      </c>
      <c r="J29" s="12"/>
    </row>
    <row r="30" ht="8.25" customHeight="1">
      <c r="B30" s="22"/>
      <c r="D30" s="34"/>
      <c r="F30" s="34"/>
      <c r="G30" s="97"/>
      <c r="H30" s="34"/>
      <c r="I30" s="71"/>
      <c r="J30" s="24"/>
    </row>
    <row r="31">
      <c r="A31" s="221"/>
      <c r="B31" s="222"/>
      <c r="C31" s="223" t="s">
        <v>187</v>
      </c>
      <c r="D31" s="224"/>
      <c r="E31" s="223" t="s">
        <v>225</v>
      </c>
      <c r="F31" s="224"/>
      <c r="G31" s="225" t="s">
        <v>189</v>
      </c>
      <c r="H31" s="224"/>
      <c r="I31" s="226" t="s">
        <v>91</v>
      </c>
      <c r="J31" s="227"/>
      <c r="K31" s="221"/>
    </row>
    <row r="32" ht="101.25" customHeight="1">
      <c r="B32" s="25"/>
      <c r="C32" s="228" t="s">
        <v>230</v>
      </c>
      <c r="D32" s="229" t="s">
        <v>191</v>
      </c>
      <c r="E32" s="230" t="s">
        <v>227</v>
      </c>
      <c r="F32" s="231" t="s">
        <v>193</v>
      </c>
      <c r="G32" s="90" t="str">
        <f>substitute(C32,"{{QUESTION}}",E32)</f>
        <v>User: Hia its me i have a q about dogs  ar cn brown?  tx it help me muhch much atx fst fst answer short short tx</v>
      </c>
      <c r="H32" s="91" t="s">
        <v>93</v>
      </c>
      <c r="I32" s="105" t="str">
        <f>claudeMessages(G32, 'Tutorial How-To'!E37,"temperature",0)</f>
        <v>Yes, dogs can have brown fur.</v>
      </c>
      <c r="J32" s="24"/>
    </row>
    <row r="33" ht="15.75" customHeight="1">
      <c r="B33" s="25"/>
      <c r="C33" s="232"/>
      <c r="D33" s="91"/>
      <c r="E33" s="233"/>
      <c r="F33" s="34"/>
      <c r="G33" s="233"/>
      <c r="H33" s="34"/>
      <c r="I33" s="233"/>
      <c r="J33" s="24"/>
    </row>
    <row r="34" collapsed="1">
      <c r="B34" s="127" t="s">
        <v>120</v>
      </c>
      <c r="C34" s="128" t="s">
        <v>121</v>
      </c>
      <c r="J34" s="12"/>
    </row>
    <row r="35" hidden="1" outlineLevel="1">
      <c r="B35" s="234" t="s">
        <v>231</v>
      </c>
      <c r="J35" s="12"/>
    </row>
    <row r="36">
      <c r="B36" s="9"/>
      <c r="C36" s="9"/>
      <c r="D36" s="219"/>
      <c r="E36" s="9"/>
      <c r="F36" s="219"/>
      <c r="G36" s="220"/>
      <c r="H36" s="219"/>
      <c r="I36" s="235"/>
      <c r="J36" s="9"/>
    </row>
    <row r="37">
      <c r="B37" s="121" t="s">
        <v>232</v>
      </c>
      <c r="G37" s="97"/>
      <c r="H37" s="34"/>
      <c r="I37" s="42" t="s">
        <v>233</v>
      </c>
    </row>
    <row r="38">
      <c r="G38" s="97"/>
      <c r="H38" s="34"/>
      <c r="I38" s="71"/>
    </row>
    <row r="39">
      <c r="B39" s="123" t="s">
        <v>80</v>
      </c>
    </row>
    <row r="40">
      <c r="B40" s="123" t="s">
        <v>113</v>
      </c>
    </row>
    <row r="41">
      <c r="D41" s="34"/>
      <c r="F41" s="34"/>
      <c r="G41" s="97"/>
      <c r="H41" s="34"/>
      <c r="I41" s="71"/>
    </row>
    <row r="42">
      <c r="D42" s="34"/>
      <c r="F42" s="34"/>
      <c r="G42" s="97"/>
      <c r="H42" s="34"/>
      <c r="I42" s="71"/>
    </row>
    <row r="43">
      <c r="D43" s="34"/>
      <c r="F43" s="34"/>
      <c r="G43" s="97"/>
      <c r="H43" s="34"/>
      <c r="I43" s="71"/>
    </row>
    <row r="44">
      <c r="D44" s="34"/>
      <c r="F44" s="34"/>
      <c r="G44" s="97"/>
      <c r="H44" s="34"/>
      <c r="I44" s="71"/>
    </row>
  </sheetData>
  <mergeCells count="22">
    <mergeCell ref="B1:H1"/>
    <mergeCell ref="B3:C3"/>
    <mergeCell ref="B8:E8"/>
    <mergeCell ref="I8:J8"/>
    <mergeCell ref="B9:J9"/>
    <mergeCell ref="C14:J14"/>
    <mergeCell ref="B15:J15"/>
    <mergeCell ref="B28:E28"/>
    <mergeCell ref="B29:J29"/>
    <mergeCell ref="C34:J34"/>
    <mergeCell ref="B35:J35"/>
    <mergeCell ref="B37:E37"/>
    <mergeCell ref="I37:J37"/>
    <mergeCell ref="B39:J39"/>
    <mergeCell ref="B40:J40"/>
    <mergeCell ref="B17:E17"/>
    <mergeCell ref="I17:J17"/>
    <mergeCell ref="B18:J18"/>
    <mergeCell ref="B20:J20"/>
    <mergeCell ref="C25:J25"/>
    <mergeCell ref="B26:J26"/>
    <mergeCell ref="I28:J28"/>
  </mergeCells>
  <conditionalFormatting sqref="I23">
    <cfRule type="containsText" dxfId="0" priority="1" operator="containsText" text="brown">
      <formula>NOT(ISERROR(SEARCH(("brown"),(I23))))</formula>
    </cfRule>
  </conditionalFormatting>
  <conditionalFormatting sqref="I12">
    <cfRule type="expression" dxfId="0" priority="2">
      <formula>AND(ISNUMBER(SEARCH("pigs",I12)),ISNUMBER(SEARCH("haiku",I12)))</formula>
    </cfRule>
  </conditionalFormatting>
  <conditionalFormatting sqref="I32">
    <cfRule type="containsText" dxfId="0" priority="3" operator="containsText" text="brown">
      <formula>NOT(ISERROR(SEARCH(("brown"),(I32))))</formula>
    </cfRule>
  </conditionalFormatting>
  <hyperlinks>
    <hyperlink display="Exercise 4.1 - Haiku Topic" location="C4Exercise1" ref="C4"/>
    <hyperlink display="Exercise 4.2 - Dog Question with Typos" location="C4Exercise2" ref="C5"/>
    <hyperlink display="Exercise 4.3 - Dog Question Part 2" location="C4Exercise3" ref="C6"/>
    <hyperlink display="Back to top ↑" location="C4ExerciseTitle" ref="I8"/>
    <hyperlink display="Back to top ↑" location="C4ExerciseTitle" ref="I17"/>
    <hyperlink display="Back to top ↑" location="C4ExerciseTitle" ref="I28"/>
    <hyperlink display="← Chapter 4: Separating Data from Instructions" location="C4LessonTitle" ref="B37"/>
    <hyperlink display="Chapter 5: Formatting Output &amp; Speaking for Claude →" location="C5LessonTitle" ref="I37"/>
    <hyperlink display="Back to top ↑" location="C4ExerciseTitle" ref="B39"/>
    <hyperlink display="Table of Contents" location="IntroTitle" ref="B40"/>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28.25"/>
    <col customWidth="1" min="4" max="4" width="4.0"/>
    <col customWidth="1" min="5" max="5" width="19.75"/>
    <col customWidth="1" min="6" max="6" width="4.0"/>
    <col customWidth="1" min="7" max="7" width="33.63"/>
    <col customWidth="1" min="8" max="8" width="4.0"/>
    <col customWidth="1" min="9" max="9" width="52.25"/>
    <col customWidth="1" min="10" max="10" width="3.0"/>
    <col customWidth="1" min="11" max="11" width="5.5"/>
  </cols>
  <sheetData>
    <row r="1" ht="32.25" customHeight="1">
      <c r="A1" s="1"/>
      <c r="B1" s="2" t="s">
        <v>59</v>
      </c>
      <c r="H1" s="237"/>
      <c r="I1" s="216"/>
      <c r="J1" s="3"/>
      <c r="K1" s="3"/>
    </row>
    <row r="2" ht="21.75" customHeight="1">
      <c r="D2" s="34"/>
      <c r="F2" s="34"/>
      <c r="G2" s="97"/>
      <c r="H2" s="34"/>
      <c r="I2" s="71"/>
    </row>
    <row r="3" ht="21.75" customHeight="1">
      <c r="A3" s="23"/>
      <c r="B3" s="69" t="s">
        <v>76</v>
      </c>
      <c r="D3" s="34"/>
      <c r="F3" s="34"/>
      <c r="G3" s="23"/>
      <c r="H3" s="217"/>
    </row>
    <row r="4" ht="15.75" customHeight="1">
      <c r="A4" s="23"/>
      <c r="C4" s="70" t="s">
        <v>53</v>
      </c>
      <c r="D4" s="34"/>
      <c r="F4" s="34"/>
      <c r="G4" s="23"/>
      <c r="H4" s="34"/>
      <c r="I4" s="218"/>
    </row>
    <row r="5" ht="15.75" customHeight="1">
      <c r="A5" s="23"/>
      <c r="C5" s="70" t="s">
        <v>77</v>
      </c>
      <c r="D5" s="34"/>
      <c r="F5" s="34"/>
      <c r="G5" s="23"/>
      <c r="H5" s="34"/>
      <c r="I5" s="218"/>
    </row>
    <row r="6" ht="15.75" customHeight="1">
      <c r="A6" s="23" t="s">
        <v>78</v>
      </c>
      <c r="C6" s="70" t="s">
        <v>79</v>
      </c>
      <c r="D6" s="34"/>
      <c r="F6" s="34"/>
      <c r="G6" s="23" t="s">
        <v>78</v>
      </c>
      <c r="H6" s="34"/>
      <c r="I6" s="218"/>
    </row>
    <row r="7" ht="33.75" customHeight="1">
      <c r="D7" s="34"/>
      <c r="F7" s="34"/>
      <c r="H7" s="34"/>
    </row>
    <row r="8" ht="29.25" customHeight="1">
      <c r="A8" s="71"/>
      <c r="B8" s="72" t="s">
        <v>53</v>
      </c>
      <c r="C8" s="73"/>
      <c r="D8" s="73"/>
      <c r="E8" s="73"/>
      <c r="F8" s="219"/>
      <c r="G8" s="238"/>
      <c r="H8" s="219"/>
      <c r="I8" s="74" t="s">
        <v>80</v>
      </c>
      <c r="J8" s="75"/>
      <c r="K8" s="71"/>
    </row>
    <row r="9">
      <c r="B9" s="239" t="s">
        <v>234</v>
      </c>
      <c r="C9" s="49"/>
      <c r="D9" s="49"/>
      <c r="E9" s="49"/>
      <c r="F9" s="49"/>
      <c r="G9" s="49"/>
      <c r="H9" s="49"/>
      <c r="I9" s="49"/>
      <c r="J9" s="50"/>
    </row>
    <row r="10" ht="33.75" customHeight="1">
      <c r="D10" s="34"/>
      <c r="F10" s="34"/>
      <c r="G10" s="97"/>
      <c r="H10" s="34"/>
      <c r="I10" s="71"/>
    </row>
    <row r="11" ht="29.25" customHeight="1">
      <c r="B11" s="72" t="s">
        <v>77</v>
      </c>
      <c r="C11" s="73"/>
      <c r="D11" s="73"/>
      <c r="E11" s="73"/>
      <c r="F11" s="219"/>
      <c r="G11" s="220"/>
      <c r="H11" s="219"/>
      <c r="I11" s="74" t="s">
        <v>80</v>
      </c>
      <c r="J11" s="75"/>
    </row>
    <row r="12">
      <c r="B12" s="89" t="s">
        <v>235</v>
      </c>
      <c r="J12" s="12"/>
    </row>
    <row r="13" ht="8.25" customHeight="1">
      <c r="B13" s="22"/>
      <c r="D13" s="34"/>
      <c r="F13" s="34"/>
      <c r="G13" s="97"/>
      <c r="H13" s="34"/>
      <c r="I13" s="71"/>
      <c r="J13" s="24"/>
    </row>
    <row r="14">
      <c r="A14" s="221"/>
      <c r="B14" s="222"/>
      <c r="C14" s="223" t="s">
        <v>187</v>
      </c>
      <c r="D14" s="224"/>
      <c r="E14" s="223" t="s">
        <v>188</v>
      </c>
      <c r="F14" s="224"/>
      <c r="G14" s="225" t="s">
        <v>189</v>
      </c>
      <c r="H14" s="224"/>
      <c r="I14" s="226" t="s">
        <v>91</v>
      </c>
      <c r="J14" s="227"/>
      <c r="K14" s="221"/>
    </row>
    <row r="15" ht="79.5" customHeight="1">
      <c r="B15" s="25"/>
      <c r="C15" s="228" t="s">
        <v>236</v>
      </c>
      <c r="D15" s="229" t="s">
        <v>191</v>
      </c>
      <c r="E15" s="230" t="s">
        <v>237</v>
      </c>
      <c r="F15" s="231" t="s">
        <v>193</v>
      </c>
      <c r="G15" s="90" t="str">
        <f>substitute(C15,"{{ANIMAL}}",E15)</f>
        <v>User: Please write a haiku about Rabbit. Put it in &lt;haiku&gt; tags.</v>
      </c>
      <c r="H15" s="91" t="s">
        <v>93</v>
      </c>
      <c r="I15" s="92" t="str">
        <f>claudeMessages($G15,'Tutorial How-To'!$E$37,"temperature",0)</f>
        <v>&lt;haiku&gt;
Fluffy, twitching nose,
Hopping through the verdant grass,
Rabbit's gentle grace.
&lt;/haiku&gt;</v>
      </c>
      <c r="J15" s="24"/>
    </row>
    <row r="16" ht="15.75" customHeight="1">
      <c r="B16" s="25"/>
      <c r="C16" s="232"/>
      <c r="D16" s="91"/>
      <c r="E16" s="233"/>
      <c r="F16" s="34"/>
      <c r="G16" s="233"/>
      <c r="H16" s="34"/>
      <c r="I16" s="233"/>
      <c r="J16" s="24"/>
    </row>
    <row r="17">
      <c r="B17" s="89" t="s">
        <v>238</v>
      </c>
      <c r="J17" s="12"/>
    </row>
    <row r="18" ht="11.25" customHeight="1">
      <c r="B18" s="13"/>
      <c r="C18" s="14"/>
      <c r="D18" s="240"/>
      <c r="E18" s="14"/>
      <c r="F18" s="240"/>
      <c r="G18" s="14"/>
      <c r="H18" s="240"/>
      <c r="I18" s="14"/>
      <c r="J18" s="17"/>
    </row>
    <row r="19">
      <c r="B19" s="89" t="s">
        <v>239</v>
      </c>
      <c r="J19" s="12"/>
    </row>
    <row r="20" ht="8.25" customHeight="1">
      <c r="B20" s="25"/>
      <c r="D20" s="34"/>
      <c r="F20" s="34"/>
      <c r="G20" s="97"/>
      <c r="H20" s="34"/>
      <c r="I20" s="71"/>
      <c r="J20" s="24"/>
    </row>
    <row r="21">
      <c r="A21" s="221"/>
      <c r="B21" s="222"/>
      <c r="C21" s="223" t="s">
        <v>187</v>
      </c>
      <c r="D21" s="224"/>
      <c r="E21" s="223" t="s">
        <v>188</v>
      </c>
      <c r="F21" s="224"/>
      <c r="G21" s="225" t="s">
        <v>189</v>
      </c>
      <c r="H21" s="224"/>
      <c r="I21" s="226" t="s">
        <v>91</v>
      </c>
      <c r="J21" s="227"/>
      <c r="K21" s="221"/>
    </row>
    <row r="22" ht="78.75" customHeight="1">
      <c r="B22" s="25"/>
      <c r="C22" s="228" t="s">
        <v>240</v>
      </c>
      <c r="D22" s="229" t="s">
        <v>191</v>
      </c>
      <c r="E22" s="230" t="s">
        <v>241</v>
      </c>
      <c r="F22" s="231" t="s">
        <v>193</v>
      </c>
      <c r="G22" s="90" t="str">
        <f>substitute(C22,"{{ANIMAL}}",E22)</f>
        <v>User: Please write a haiku about Cat. Put it in &lt;haiku&gt; tags.
Assistant: &lt;haiku&gt;</v>
      </c>
      <c r="H22" s="91" t="s">
        <v>93</v>
      </c>
      <c r="I22" s="92" t="str">
        <f>claudeMessages($G22,'Tutorial How-To'!$E$37,"temperature",0)</f>
        <v>Feline grace and poise,
Purring softly by my side,
Cat, my loyal friend.
&lt;/haiku&gt;</v>
      </c>
      <c r="J22" s="24"/>
    </row>
    <row r="23" ht="15.75" customHeight="1">
      <c r="B23" s="13"/>
      <c r="C23" s="14"/>
      <c r="D23" s="14"/>
      <c r="E23" s="14"/>
      <c r="F23" s="14"/>
      <c r="G23" s="14"/>
      <c r="H23" s="14"/>
      <c r="I23" s="14"/>
      <c r="J23" s="17"/>
    </row>
    <row r="24" ht="28.5" customHeight="1">
      <c r="B24" s="89" t="s">
        <v>242</v>
      </c>
      <c r="J24" s="12"/>
    </row>
    <row r="25" ht="15.75" customHeight="1">
      <c r="B25" s="25"/>
      <c r="D25" s="34"/>
      <c r="F25" s="34"/>
      <c r="G25" s="97"/>
      <c r="H25" s="34"/>
      <c r="I25" s="71"/>
      <c r="J25" s="24"/>
    </row>
    <row r="26">
      <c r="B26" s="222"/>
      <c r="C26" s="223" t="s">
        <v>187</v>
      </c>
      <c r="D26" s="224"/>
      <c r="E26" s="223" t="s">
        <v>188</v>
      </c>
      <c r="F26" s="224"/>
      <c r="G26" s="225" t="s">
        <v>189</v>
      </c>
      <c r="H26" s="224"/>
      <c r="I26" s="226" t="s">
        <v>91</v>
      </c>
      <c r="J26" s="227"/>
    </row>
    <row r="27" ht="108.75" customHeight="1">
      <c r="B27" s="25"/>
      <c r="C27" s="228" t="s">
        <v>243</v>
      </c>
      <c r="D27" s="229" t="s">
        <v>191</v>
      </c>
      <c r="E27" s="230" t="s">
        <v>241</v>
      </c>
      <c r="F27" s="231" t="s">
        <v>193</v>
      </c>
      <c r="G27" s="90" t="str">
        <f>substitute(C27,"{{ANIMAL}}",E27)</f>
        <v>User: Please write a haiku about Cat. Use JSON format with the keys as "first_line", "second_line", and "third_line".
Assistant: {</v>
      </c>
      <c r="H27" s="91" t="s">
        <v>93</v>
      </c>
      <c r="I27" s="92" t="str">
        <f>claudeMessages($G27,'Tutorial How-To'!$E$37,"temperature",0)</f>
        <v>"first_line": "Feline grace and poise,",
  "second_line": "Purring softly by my side,",
  "third_line": "Captivating cat."
}</v>
      </c>
      <c r="J27" s="24"/>
    </row>
    <row r="28" ht="20.25" customHeight="1">
      <c r="B28" s="25"/>
      <c r="C28" s="233"/>
      <c r="D28" s="229"/>
      <c r="E28" s="233"/>
      <c r="F28" s="231"/>
      <c r="G28" s="233"/>
      <c r="H28" s="91"/>
      <c r="I28" s="233"/>
      <c r="J28" s="24"/>
    </row>
    <row r="29">
      <c r="B29" s="89" t="s">
        <v>244</v>
      </c>
      <c r="J29" s="12"/>
    </row>
    <row r="30" ht="8.25" customHeight="1">
      <c r="B30" s="22"/>
      <c r="D30" s="34"/>
      <c r="F30" s="34"/>
      <c r="G30" s="97"/>
      <c r="H30" s="34"/>
      <c r="I30" s="71"/>
      <c r="J30" s="24"/>
    </row>
    <row r="31">
      <c r="A31" s="221"/>
      <c r="B31" s="222"/>
      <c r="C31" s="223" t="s">
        <v>187</v>
      </c>
      <c r="D31" s="224"/>
      <c r="E31" s="223" t="s">
        <v>196</v>
      </c>
      <c r="F31" s="224"/>
      <c r="G31" s="225" t="s">
        <v>189</v>
      </c>
      <c r="H31" s="224"/>
      <c r="I31" s="226" t="s">
        <v>91</v>
      </c>
      <c r="J31" s="227"/>
      <c r="K31" s="221"/>
    </row>
    <row r="32" ht="86.25" customHeight="1">
      <c r="B32" s="25"/>
      <c r="C32" s="241" t="s">
        <v>245</v>
      </c>
      <c r="D32" s="229" t="s">
        <v>191</v>
      </c>
      <c r="E32" s="230" t="s">
        <v>246</v>
      </c>
      <c r="F32" s="231" t="s">
        <v>193</v>
      </c>
      <c r="G32" s="93" t="str">
        <f>substitute(substitute(C32,"{{EMAIL}}",E32),"{{ADJECTIVE}}",E35)</f>
        <v>User: Hey Claude. Here is an email: &lt;email&gt;Hi Zack, just pinging you for a quick update on that prompt you were supposed to write.&lt;/email&gt;. Make this email more olde english. Write the new version in &lt;olde english_email&gt; XML tags.
Assistant: &lt;olde english_email&gt;</v>
      </c>
      <c r="H32" s="91" t="s">
        <v>93</v>
      </c>
      <c r="I32" s="162" t="str">
        <f>claudeMessages($G32,'Tutorial How-To'!$E$37,"temperature",0)</f>
        <v>Dearest Zack,
I do humbly beseech thee for a swift update on the prompt which thou wast charged to compose. Pray, let me know the progress of this endeavor, for I await thy response with bated breath.
Sincerely,
Thy humble servant
&lt;/olde english_email&gt;</v>
      </c>
      <c r="J32" s="24"/>
    </row>
    <row r="33" ht="8.25" customHeight="1">
      <c r="B33" s="22"/>
      <c r="C33" s="180"/>
      <c r="D33" s="34"/>
      <c r="G33" s="95"/>
      <c r="I33" s="95"/>
      <c r="J33" s="24"/>
    </row>
    <row r="34">
      <c r="A34" s="221"/>
      <c r="B34" s="222"/>
      <c r="C34" s="180"/>
      <c r="D34" s="224"/>
      <c r="E34" s="223" t="s">
        <v>247</v>
      </c>
      <c r="G34" s="95"/>
      <c r="I34" s="95"/>
      <c r="J34" s="227"/>
      <c r="K34" s="221"/>
    </row>
    <row r="35" ht="88.5" customHeight="1">
      <c r="B35" s="25"/>
      <c r="C35" s="181"/>
      <c r="D35" s="229" t="s">
        <v>191</v>
      </c>
      <c r="E35" s="230" t="s">
        <v>248</v>
      </c>
      <c r="G35" s="96"/>
      <c r="I35" s="96"/>
      <c r="J35" s="24"/>
    </row>
    <row r="36" ht="15.75" customHeight="1">
      <c r="B36" s="25"/>
      <c r="D36" s="34"/>
      <c r="F36" s="34"/>
      <c r="G36" s="97"/>
      <c r="H36" s="34"/>
      <c r="I36" s="71"/>
      <c r="J36" s="24"/>
    </row>
    <row r="37" ht="15.75" customHeight="1" collapsed="1">
      <c r="B37" s="242" t="s">
        <v>249</v>
      </c>
      <c r="J37" s="12"/>
    </row>
    <row r="38" hidden="1" outlineLevel="1">
      <c r="B38" s="234" t="s">
        <v>250</v>
      </c>
      <c r="J38" s="12"/>
    </row>
    <row r="39" ht="11.25" customHeight="1">
      <c r="B39" s="13"/>
      <c r="C39" s="14"/>
      <c r="D39" s="14"/>
      <c r="E39" s="14"/>
      <c r="F39" s="14"/>
      <c r="G39" s="14"/>
      <c r="H39" s="14"/>
      <c r="I39" s="14"/>
      <c r="J39" s="17"/>
    </row>
    <row r="40" ht="15.75" customHeight="1">
      <c r="B40" s="118" t="s">
        <v>251</v>
      </c>
      <c r="C40" s="49"/>
      <c r="D40" s="49"/>
      <c r="E40" s="49"/>
      <c r="F40" s="49"/>
      <c r="G40" s="49"/>
      <c r="H40" s="49"/>
      <c r="I40" s="49"/>
      <c r="J40" s="50"/>
    </row>
    <row r="41" ht="15.75" customHeight="1">
      <c r="H41" s="243"/>
      <c r="I41" s="68"/>
      <c r="J41" s="68"/>
    </row>
    <row r="42" ht="15.75" customHeight="1">
      <c r="H42" s="34"/>
      <c r="I42" s="42" t="s">
        <v>252</v>
      </c>
    </row>
    <row r="43" ht="33.75" customHeight="1">
      <c r="H43" s="34"/>
      <c r="I43" s="71"/>
    </row>
    <row r="44" ht="29.25" customHeight="1">
      <c r="B44" s="72" t="s">
        <v>79</v>
      </c>
      <c r="C44" s="73"/>
      <c r="D44" s="73"/>
      <c r="E44" s="73"/>
      <c r="F44" s="219"/>
      <c r="G44" s="220"/>
      <c r="H44" s="219"/>
      <c r="I44" s="74" t="s">
        <v>80</v>
      </c>
      <c r="J44" s="75"/>
    </row>
    <row r="45">
      <c r="B45" s="89" t="s">
        <v>253</v>
      </c>
      <c r="J45" s="12"/>
    </row>
    <row r="46" ht="8.25" customHeight="1">
      <c r="B46" s="22"/>
      <c r="D46" s="34"/>
      <c r="F46" s="34"/>
      <c r="G46" s="97"/>
      <c r="H46" s="34"/>
      <c r="I46" s="71"/>
      <c r="J46" s="24"/>
    </row>
    <row r="47">
      <c r="A47" s="221"/>
      <c r="B47" s="222"/>
      <c r="C47" s="223" t="s">
        <v>187</v>
      </c>
      <c r="D47" s="224"/>
      <c r="E47" s="223" t="s">
        <v>188</v>
      </c>
      <c r="F47" s="224"/>
      <c r="G47" s="225" t="s">
        <v>189</v>
      </c>
      <c r="H47" s="224"/>
      <c r="I47" s="226" t="s">
        <v>91</v>
      </c>
      <c r="J47" s="227"/>
      <c r="K47" s="221"/>
    </row>
    <row r="48" ht="79.5" customHeight="1">
      <c r="B48" s="25"/>
      <c r="C48" s="228" t="s">
        <v>236</v>
      </c>
      <c r="D48" s="229" t="s">
        <v>191</v>
      </c>
      <c r="E48" s="230" t="s">
        <v>237</v>
      </c>
      <c r="F48" s="231" t="s">
        <v>193</v>
      </c>
      <c r="G48" s="90" t="str">
        <f>substitute(C48,"{{ANIMAL}}",E48)</f>
        <v>User: Please write a haiku about Rabbit. Put it in &lt;haiku&gt; tags.</v>
      </c>
      <c r="H48" s="91" t="s">
        <v>93</v>
      </c>
      <c r="I48" s="152" t="str">
        <f>claudeMessages($G48,'Tutorial How-To'!$E$37,"temperature",0)</f>
        <v>&lt;haiku&gt;
Fluffy, twitching nose,
Hopping through the verdant grass,
Rabbit's gentle grace.
&lt;/haiku&gt;</v>
      </c>
      <c r="J48" s="24"/>
    </row>
    <row r="49" ht="8.25" customHeight="1">
      <c r="B49" s="25"/>
      <c r="D49" s="34"/>
      <c r="F49" s="34"/>
      <c r="G49" s="97"/>
      <c r="H49" s="34"/>
      <c r="I49" s="71"/>
      <c r="J49" s="24"/>
    </row>
    <row r="50">
      <c r="A50" s="221"/>
      <c r="B50" s="222"/>
      <c r="C50" s="223" t="s">
        <v>187</v>
      </c>
      <c r="D50" s="224"/>
      <c r="E50" s="223" t="s">
        <v>188</v>
      </c>
      <c r="F50" s="224"/>
      <c r="G50" s="225" t="s">
        <v>189</v>
      </c>
      <c r="H50" s="224"/>
      <c r="I50" s="226" t="s">
        <v>91</v>
      </c>
      <c r="J50" s="227"/>
      <c r="K50" s="221"/>
    </row>
    <row r="51" ht="78.75" customHeight="1">
      <c r="B51" s="25"/>
      <c r="C51" s="228" t="s">
        <v>240</v>
      </c>
      <c r="D51" s="229" t="s">
        <v>191</v>
      </c>
      <c r="E51" s="230" t="s">
        <v>241</v>
      </c>
      <c r="F51" s="231" t="s">
        <v>193</v>
      </c>
      <c r="G51" s="90" t="str">
        <f>substitute(C51,"{{ANIMAL}}",E51)</f>
        <v>User: Please write a haiku about Cat. Put it in &lt;haiku&gt; tags.
Assistant: &lt;haiku&gt;</v>
      </c>
      <c r="H51" s="91" t="s">
        <v>93</v>
      </c>
      <c r="I51" s="152" t="str">
        <f>claudeMessages($G51,'Tutorial How-To'!$E$37,"temperature",0)</f>
        <v>Feline grace and poise,
Purring softly by my side,
Cat, my loyal friend.
&lt;/haiku&gt;</v>
      </c>
      <c r="J51" s="24"/>
    </row>
    <row r="52" ht="8.25" customHeight="1">
      <c r="B52" s="22"/>
      <c r="D52" s="34"/>
      <c r="F52" s="34"/>
      <c r="G52" s="97"/>
      <c r="H52" s="34"/>
      <c r="I52" s="71"/>
      <c r="J52" s="24"/>
    </row>
    <row r="53">
      <c r="B53" s="222"/>
      <c r="C53" s="223" t="s">
        <v>187</v>
      </c>
      <c r="D53" s="224"/>
      <c r="E53" s="223" t="s">
        <v>188</v>
      </c>
      <c r="F53" s="224"/>
      <c r="G53" s="225" t="s">
        <v>189</v>
      </c>
      <c r="H53" s="224"/>
      <c r="I53" s="226" t="s">
        <v>91</v>
      </c>
      <c r="J53" s="227"/>
    </row>
    <row r="54" ht="108.75" customHeight="1">
      <c r="B54" s="25"/>
      <c r="C54" s="228" t="s">
        <v>243</v>
      </c>
      <c r="D54" s="229" t="s">
        <v>191</v>
      </c>
      <c r="E54" s="230" t="s">
        <v>241</v>
      </c>
      <c r="F54" s="231" t="s">
        <v>193</v>
      </c>
      <c r="G54" s="90" t="str">
        <f>substitute(C54,"{{ANIMAL}}",E54)</f>
        <v>User: Please write a haiku about Cat. Use JSON format with the keys as "first_line", "second_line", and "third_line".
Assistant: {</v>
      </c>
      <c r="H54" s="91" t="s">
        <v>93</v>
      </c>
      <c r="I54" s="152" t="str">
        <f>claudeMessages($G54,'Tutorial How-To'!$E$37,"temperature",0)</f>
        <v>"first_line": "Feline grace and poise,",
  "second_line": "Purring softly by my side,",
  "third_line": "Captivating cat."
}</v>
      </c>
      <c r="J54" s="24"/>
    </row>
    <row r="55" ht="8.25" customHeight="1">
      <c r="B55" s="22"/>
      <c r="D55" s="34"/>
      <c r="F55" s="34"/>
      <c r="G55" s="97"/>
      <c r="H55" s="34"/>
      <c r="I55" s="71"/>
      <c r="J55" s="24"/>
    </row>
    <row r="56" ht="15.75" customHeight="1">
      <c r="B56" s="25"/>
      <c r="C56" s="223" t="s">
        <v>187</v>
      </c>
      <c r="D56" s="229"/>
      <c r="E56" s="244" t="s">
        <v>196</v>
      </c>
      <c r="F56" s="231"/>
      <c r="G56" s="225" t="s">
        <v>189</v>
      </c>
      <c r="H56" s="91"/>
      <c r="I56" s="226" t="s">
        <v>91</v>
      </c>
      <c r="J56" s="24"/>
    </row>
    <row r="57" ht="86.25" customHeight="1">
      <c r="B57" s="25"/>
      <c r="C57" s="241" t="s">
        <v>245</v>
      </c>
      <c r="D57" s="229" t="s">
        <v>191</v>
      </c>
      <c r="E57" s="230" t="s">
        <v>246</v>
      </c>
      <c r="F57" s="231" t="s">
        <v>193</v>
      </c>
      <c r="G57" s="93" t="str">
        <f>substitute(substitute(C57,"{{EMAIL}}",E57),"{{ADJECTIVE}}",E60)</f>
        <v>User: Hey Claude. Here is an email: &lt;email&gt;Hi Zack, just pinging you for a quick update on that prompt you were supposed to write.&lt;/email&gt;. Make this email more olde english. Write the new version in &lt;olde english_email&gt; XML tags.
Assistant: &lt;olde english_email&gt;</v>
      </c>
      <c r="H57" s="91" t="s">
        <v>93</v>
      </c>
      <c r="I57" s="162" t="str">
        <f>claudeMessages($G57,'Tutorial How-To'!$E$37,"temperature",0)</f>
        <v>Dearest Zack,
I do humbly beseech thee for a swift update on the prompt which thou wast charged to compose. Pray, let me know the progress of this endeavor, for I await thy response with bated breath.
Sincerely,
Thy humble servant
&lt;/olde english_email&gt;</v>
      </c>
      <c r="J57" s="24"/>
    </row>
    <row r="58" ht="8.25" customHeight="1">
      <c r="B58" s="22"/>
      <c r="C58" s="180"/>
      <c r="D58" s="34"/>
      <c r="G58" s="95"/>
      <c r="I58" s="95"/>
      <c r="J58" s="24"/>
    </row>
    <row r="59">
      <c r="A59" s="221"/>
      <c r="B59" s="222"/>
      <c r="C59" s="180"/>
      <c r="D59" s="224"/>
      <c r="E59" s="223" t="s">
        <v>247</v>
      </c>
      <c r="G59" s="95"/>
      <c r="I59" s="95"/>
      <c r="J59" s="227"/>
      <c r="K59" s="221"/>
    </row>
    <row r="60" ht="88.5" customHeight="1">
      <c r="B60" s="25"/>
      <c r="C60" s="181"/>
      <c r="D60" s="229" t="s">
        <v>191</v>
      </c>
      <c r="E60" s="230" t="s">
        <v>248</v>
      </c>
      <c r="G60" s="96"/>
      <c r="I60" s="96"/>
      <c r="J60" s="24"/>
    </row>
    <row r="61" ht="15.75" customHeight="1">
      <c r="B61" s="120"/>
      <c r="C61" s="245"/>
      <c r="D61" s="246"/>
      <c r="E61" s="247"/>
      <c r="F61" s="248"/>
      <c r="G61" s="247"/>
      <c r="H61" s="248"/>
      <c r="I61" s="247"/>
      <c r="J61" s="66"/>
    </row>
    <row r="62">
      <c r="D62" s="34"/>
      <c r="F62" s="34"/>
      <c r="G62" s="97"/>
      <c r="H62" s="34"/>
      <c r="I62" s="71"/>
    </row>
    <row r="63">
      <c r="B63" s="121" t="s">
        <v>254</v>
      </c>
      <c r="G63" s="97"/>
      <c r="H63" s="34"/>
      <c r="I63" s="42" t="s">
        <v>252</v>
      </c>
    </row>
    <row r="64">
      <c r="G64" s="97"/>
      <c r="H64" s="34"/>
      <c r="I64" s="71"/>
    </row>
    <row r="65">
      <c r="B65" s="123" t="s">
        <v>80</v>
      </c>
    </row>
    <row r="66">
      <c r="B66" s="123" t="s">
        <v>113</v>
      </c>
    </row>
    <row r="67">
      <c r="D67" s="34"/>
      <c r="F67" s="34"/>
      <c r="G67" s="97"/>
      <c r="H67" s="34"/>
      <c r="I67" s="71"/>
    </row>
    <row r="68">
      <c r="D68" s="34"/>
      <c r="F68" s="34"/>
      <c r="G68" s="97"/>
      <c r="H68" s="34"/>
      <c r="I68" s="71"/>
    </row>
    <row r="69">
      <c r="D69" s="34"/>
      <c r="F69" s="34"/>
      <c r="G69" s="97"/>
      <c r="H69" s="34"/>
      <c r="I69" s="71"/>
    </row>
    <row r="70">
      <c r="D70" s="34"/>
      <c r="F70" s="34"/>
      <c r="G70" s="97"/>
      <c r="H70" s="34"/>
      <c r="I70" s="71"/>
    </row>
  </sheetData>
  <mergeCells count="33">
    <mergeCell ref="B1:G1"/>
    <mergeCell ref="B3:C3"/>
    <mergeCell ref="B8:E8"/>
    <mergeCell ref="I8:J8"/>
    <mergeCell ref="B9:J9"/>
    <mergeCell ref="B11:E11"/>
    <mergeCell ref="I11:J11"/>
    <mergeCell ref="G32:G35"/>
    <mergeCell ref="H32:H35"/>
    <mergeCell ref="B12:J12"/>
    <mergeCell ref="B17:J17"/>
    <mergeCell ref="B19:J19"/>
    <mergeCell ref="B24:J24"/>
    <mergeCell ref="B29:J29"/>
    <mergeCell ref="C32:C35"/>
    <mergeCell ref="F32:F35"/>
    <mergeCell ref="I32:I35"/>
    <mergeCell ref="B37:J37"/>
    <mergeCell ref="B38:J38"/>
    <mergeCell ref="B40:J40"/>
    <mergeCell ref="I42:J42"/>
    <mergeCell ref="I44:J44"/>
    <mergeCell ref="B45:J45"/>
    <mergeCell ref="B63:E63"/>
    <mergeCell ref="B65:J65"/>
    <mergeCell ref="B66:J66"/>
    <mergeCell ref="B44:E44"/>
    <mergeCell ref="C57:C60"/>
    <mergeCell ref="F57:F60"/>
    <mergeCell ref="G57:G60"/>
    <mergeCell ref="H57:H60"/>
    <mergeCell ref="I57:I60"/>
    <mergeCell ref="I63:J63"/>
  </mergeCells>
  <hyperlinks>
    <hyperlink display="Lesson" location="C5Lesson" ref="C4"/>
    <hyperlink display="Examples" location="C5Examples" ref="C5"/>
    <hyperlink display="Example Playground" location="C5ExamplePlayground" ref="C6"/>
    <hyperlink display="Back to top ↑" location="C5LessonTitle" ref="I8"/>
    <hyperlink display="Back to top ↑" location="C5LessonTitle" ref="I11"/>
    <hyperlink display="Chapter 5 Exercises: Formatting Output &amp; Speaking for Claude →" location="C5ExerciseTitle" ref="I42"/>
    <hyperlink display="Back to top ↑" location="C5LessonTitle" ref="I44"/>
    <hyperlink display="← Chapter 4 Exercises: Separating Data and Instructions" location="C4ExerciseTitle" ref="B63"/>
    <hyperlink display="Chapter 5 Exercises: Formatting Output &amp; Speaking for Claude →" location="C5ExerciseTitle" ref="I63"/>
    <hyperlink display="Back to top ↑" location="C5LessonTitle" ref="B65"/>
    <hyperlink display="Table of Contents" location="IntroTitle" ref="B66"/>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40.0"/>
    <col customWidth="1" min="4" max="4" width="4.0"/>
    <col customWidth="1" min="5" max="5" width="20.13"/>
    <col customWidth="1" min="6" max="6" width="4.0"/>
    <col customWidth="1" min="7" max="7" width="33.63"/>
    <col customWidth="1" min="8" max="8" width="4.0"/>
    <col customWidth="1" min="9" max="9" width="39.38"/>
    <col customWidth="1" min="10" max="10" width="3.0"/>
    <col customWidth="1" min="11" max="11" width="5.5"/>
  </cols>
  <sheetData>
    <row r="1" ht="32.25" customHeight="1">
      <c r="A1" s="1"/>
      <c r="B1" s="2" t="s">
        <v>255</v>
      </c>
      <c r="J1" s="3"/>
      <c r="K1" s="3"/>
    </row>
    <row r="2" ht="21.75" customHeight="1">
      <c r="D2" s="34"/>
      <c r="F2" s="34"/>
      <c r="G2" s="97"/>
      <c r="H2" s="34"/>
      <c r="I2" s="71"/>
    </row>
    <row r="3" ht="21.75" customHeight="1">
      <c r="A3" s="23"/>
      <c r="B3" s="69" t="s">
        <v>76</v>
      </c>
      <c r="D3" s="34"/>
      <c r="F3" s="34"/>
      <c r="G3" s="23"/>
      <c r="H3" s="217"/>
    </row>
    <row r="4" ht="15.75" customHeight="1">
      <c r="A4" s="23"/>
      <c r="C4" s="70" t="s">
        <v>256</v>
      </c>
      <c r="D4" s="34"/>
      <c r="F4" s="34"/>
      <c r="G4" s="23"/>
      <c r="H4" s="34"/>
      <c r="I4" s="218"/>
    </row>
    <row r="5" ht="15.75" customHeight="1">
      <c r="A5" s="23"/>
      <c r="C5" s="70" t="s">
        <v>257</v>
      </c>
      <c r="D5" s="34"/>
      <c r="F5" s="34"/>
      <c r="G5" s="23"/>
      <c r="H5" s="34"/>
      <c r="I5" s="218"/>
    </row>
    <row r="6" ht="15.75" customHeight="1">
      <c r="A6" s="23" t="s">
        <v>78</v>
      </c>
      <c r="C6" s="70" t="s">
        <v>258</v>
      </c>
      <c r="D6" s="34"/>
      <c r="F6" s="34"/>
      <c r="G6" s="23" t="s">
        <v>78</v>
      </c>
      <c r="H6" s="34"/>
      <c r="I6" s="218"/>
    </row>
    <row r="7" ht="33.75" customHeight="1">
      <c r="D7" s="34"/>
      <c r="F7" s="34"/>
      <c r="H7" s="34"/>
    </row>
    <row r="8" ht="29.25" customHeight="1">
      <c r="B8" s="72" t="s">
        <v>256</v>
      </c>
      <c r="C8" s="73"/>
      <c r="D8" s="73"/>
      <c r="E8" s="73"/>
      <c r="F8" s="219"/>
      <c r="G8" s="220"/>
      <c r="H8" s="219"/>
      <c r="I8" s="74" t="s">
        <v>80</v>
      </c>
      <c r="J8" s="75"/>
    </row>
    <row r="9">
      <c r="B9" s="89" t="s">
        <v>259</v>
      </c>
      <c r="J9" s="12"/>
    </row>
    <row r="10" ht="8.25" customHeight="1">
      <c r="B10" s="22"/>
      <c r="D10" s="34"/>
      <c r="F10" s="34"/>
      <c r="G10" s="97"/>
      <c r="H10" s="34"/>
      <c r="I10" s="71"/>
      <c r="J10" s="24"/>
    </row>
    <row r="11">
      <c r="A11" s="221"/>
      <c r="B11" s="222"/>
      <c r="C11" s="223" t="s">
        <v>187</v>
      </c>
      <c r="D11" s="224"/>
      <c r="E11" s="223"/>
      <c r="F11" s="224"/>
      <c r="G11" s="226" t="s">
        <v>91</v>
      </c>
      <c r="H11" s="224"/>
      <c r="I11" s="226"/>
      <c r="J11" s="227"/>
      <c r="K11" s="221"/>
    </row>
    <row r="12" ht="95.25" customHeight="1">
      <c r="B12" s="25"/>
      <c r="C12" s="249" t="s">
        <v>260</v>
      </c>
      <c r="D12" s="250"/>
      <c r="E12" s="251"/>
      <c r="F12" s="231" t="s">
        <v>193</v>
      </c>
      <c r="G12" s="252" t="str">
        <f>claudeMessages(C12, 'Tutorial How-To'!$E$37,"temperature",0)</f>
        <v>:
Stephen Curry is widely considered the greatest basketball player of all time for several reasons:
1. Unprecedented Shooting Ability: Curry is the greatest shooter in NBA history, revolutionizing the game with his prolific and efficient long-range shooting. He holds the records for most 3-pointers made in a season and career, and his shooting percentages from the field and 3-point line are unmatched.
2. Transformative Impact on the Game: Curry's shooting prowess has fundamentally changed the way basketball is played, with teams now emphasizing 3-point shooting and spacing the floor. He has raised the ceiling for what is possible in the sport.
3. Sustained Dominance: Curry has been an elite, MVP-caliber player for over a decade, leading the Golden State Warriors to multiple championships and consistently ranking among the league's top scorers and most valuable players.
4. Individual Accolades: Curry is a 4-time NBA champion, 2-time MVP (including the first unanimous MVP in 2016), and 8-time All-Star. He has won numerous individual awards and set countless records that cement his status as an all-time great.
5. Transcendent Talent and Skill: Curry's combination of shooting, ball-handling, court vision, and overall offensive brilliance is unparalleled. He can single-handedly take over games and is widely regarded as one of the most skilled players to ever play the game.
While players like Michael Jordan, LeBron James, and Kareem Abdul-Jabbar have strong cases, Curry's unprecedented impact on the sport and sustained excellence over his career make him the best basketball player of all time in my opinion.</v>
      </c>
      <c r="J12" s="24"/>
    </row>
    <row r="13" ht="95.25" customHeight="1">
      <c r="B13" s="25"/>
      <c r="C13" s="253"/>
      <c r="E13" s="254"/>
      <c r="J13" s="24"/>
    </row>
    <row r="14" ht="95.25" customHeight="1">
      <c r="B14" s="25"/>
      <c r="C14" s="255"/>
      <c r="D14" s="256"/>
      <c r="E14" s="257"/>
      <c r="J14" s="24"/>
    </row>
    <row r="15" ht="15.75" customHeight="1">
      <c r="B15" s="25"/>
      <c r="C15" s="232"/>
      <c r="D15" s="91"/>
      <c r="E15" s="233"/>
      <c r="F15" s="34"/>
      <c r="G15" s="233"/>
      <c r="H15" s="34"/>
      <c r="I15" s="233"/>
      <c r="J15" s="24"/>
    </row>
    <row r="16" collapsed="1">
      <c r="B16" s="127" t="s">
        <v>120</v>
      </c>
      <c r="C16" s="128" t="s">
        <v>121</v>
      </c>
      <c r="J16" s="12"/>
    </row>
    <row r="17" hidden="1" outlineLevel="1">
      <c r="B17" s="234" t="s">
        <v>261</v>
      </c>
      <c r="J17" s="12"/>
    </row>
    <row r="18" ht="33.75" customHeight="1">
      <c r="B18" s="9"/>
      <c r="C18" s="9"/>
      <c r="D18" s="219"/>
      <c r="E18" s="9"/>
      <c r="F18" s="219"/>
      <c r="G18" s="220"/>
      <c r="H18" s="219"/>
      <c r="I18" s="235"/>
      <c r="J18" s="9"/>
    </row>
    <row r="19" ht="29.25" customHeight="1">
      <c r="B19" s="72" t="s">
        <v>257</v>
      </c>
      <c r="C19" s="73"/>
      <c r="D19" s="73"/>
      <c r="E19" s="73"/>
      <c r="F19" s="219"/>
      <c r="G19" s="220"/>
      <c r="H19" s="219"/>
      <c r="I19" s="74" t="s">
        <v>80</v>
      </c>
      <c r="J19" s="75"/>
    </row>
    <row r="20">
      <c r="B20" s="89" t="s">
        <v>262</v>
      </c>
      <c r="J20" s="12"/>
    </row>
    <row r="21" ht="8.25" customHeight="1">
      <c r="B21" s="22"/>
      <c r="D21" s="34"/>
      <c r="F21" s="34"/>
      <c r="G21" s="97"/>
      <c r="H21" s="34"/>
      <c r="I21" s="71"/>
      <c r="J21" s="24"/>
    </row>
    <row r="22">
      <c r="A22" s="221"/>
      <c r="B22" s="222"/>
      <c r="C22" s="223" t="s">
        <v>187</v>
      </c>
      <c r="D22" s="224"/>
      <c r="E22" s="223" t="s">
        <v>188</v>
      </c>
      <c r="F22" s="224"/>
      <c r="G22" s="225" t="s">
        <v>189</v>
      </c>
      <c r="H22" s="224"/>
      <c r="I22" s="226" t="s">
        <v>91</v>
      </c>
      <c r="J22" s="227"/>
      <c r="K22" s="221"/>
    </row>
    <row r="23" ht="71.25" customHeight="1">
      <c r="B23" s="25"/>
      <c r="C23" s="241" t="s">
        <v>263</v>
      </c>
      <c r="D23" s="229" t="s">
        <v>191</v>
      </c>
      <c r="E23" s="258" t="s">
        <v>264</v>
      </c>
      <c r="F23" s="231" t="s">
        <v>193</v>
      </c>
      <c r="G23" s="93" t="str">
        <f>substitute(C23,"{{ANIMAL}}",E23)</f>
        <v>User: Please write two haikus about cats. Put them in separately &lt;haiku&gt; tags.
Assistant: &lt;haiku&gt;</v>
      </c>
      <c r="H23" s="91" t="s">
        <v>93</v>
      </c>
      <c r="I23" s="259" t="str">
        <f>claudeMessages(G23, 'Tutorial How-To'!$E$37,"temperature",0)</f>
        <v>Feline grace and poise,
Purring softly in the sun,
Cats rule the domain.
&lt;/haiku&gt;
&lt;haiku&gt;
Whiskers twitching, eyes
Watchful, stalking unseen prey,
Cats, masters of stealth.
&lt;/haiku&gt;</v>
      </c>
      <c r="J23" s="227"/>
      <c r="K23" s="221"/>
    </row>
    <row r="24" ht="71.25" customHeight="1">
      <c r="B24" s="25"/>
      <c r="C24" s="181"/>
      <c r="E24" s="96"/>
      <c r="G24" s="96"/>
      <c r="J24" s="227"/>
      <c r="K24" s="221"/>
    </row>
    <row r="25" ht="15.75" customHeight="1">
      <c r="B25" s="25"/>
      <c r="C25" s="232"/>
      <c r="D25" s="91"/>
      <c r="E25" s="233"/>
      <c r="F25" s="34"/>
      <c r="G25" s="233"/>
      <c r="H25" s="34"/>
      <c r="I25" s="233"/>
      <c r="J25" s="24"/>
    </row>
    <row r="26" collapsed="1">
      <c r="B26" s="127" t="s">
        <v>120</v>
      </c>
      <c r="C26" s="128" t="s">
        <v>121</v>
      </c>
      <c r="J26" s="12"/>
    </row>
    <row r="27" hidden="1" outlineLevel="1">
      <c r="B27" s="234" t="s">
        <v>265</v>
      </c>
      <c r="J27" s="12"/>
    </row>
    <row r="28" ht="33.75" customHeight="1">
      <c r="B28" s="9"/>
      <c r="C28" s="9"/>
      <c r="D28" s="219"/>
      <c r="E28" s="9"/>
      <c r="F28" s="219"/>
      <c r="G28" s="220"/>
      <c r="H28" s="219"/>
      <c r="I28" s="260"/>
      <c r="J28" s="9"/>
    </row>
    <row r="29" ht="29.25" customHeight="1">
      <c r="B29" s="72" t="s">
        <v>258</v>
      </c>
      <c r="C29" s="73"/>
      <c r="D29" s="73"/>
      <c r="E29" s="73"/>
      <c r="F29" s="219"/>
      <c r="G29" s="220"/>
      <c r="H29" s="219"/>
      <c r="I29" s="74" t="s">
        <v>80</v>
      </c>
      <c r="J29" s="75"/>
    </row>
    <row r="30">
      <c r="B30" s="89" t="s">
        <v>266</v>
      </c>
      <c r="J30" s="12"/>
    </row>
    <row r="31" ht="8.25" customHeight="1">
      <c r="B31" s="22"/>
      <c r="D31" s="34"/>
      <c r="F31" s="34"/>
      <c r="G31" s="97"/>
      <c r="H31" s="34"/>
      <c r="I31" s="71"/>
      <c r="J31" s="24"/>
    </row>
    <row r="32">
      <c r="A32" s="221"/>
      <c r="B32" s="222"/>
      <c r="C32" s="223" t="s">
        <v>187</v>
      </c>
      <c r="D32" s="224"/>
      <c r="E32" s="223" t="s">
        <v>267</v>
      </c>
      <c r="F32" s="224"/>
      <c r="G32" s="225" t="s">
        <v>189</v>
      </c>
      <c r="H32" s="224"/>
      <c r="I32" s="226" t="s">
        <v>91</v>
      </c>
      <c r="J32" s="227"/>
      <c r="K32" s="221"/>
    </row>
    <row r="33" ht="78.0" customHeight="1">
      <c r="B33" s="25"/>
      <c r="C33" s="241" t="s">
        <v>268</v>
      </c>
      <c r="D33" s="229" t="s">
        <v>191</v>
      </c>
      <c r="E33" s="230" t="s">
        <v>241</v>
      </c>
      <c r="F33" s="231" t="s">
        <v>193</v>
      </c>
      <c r="G33" s="93" t="str">
        <f>substitute(substitute(C33,"{{ANIMAL1}}",E33),"{{ANIMAL2}}",E36)</f>
        <v>User: Please write two haikus. Write one haiku about Cat and one haiku about Dog.  
Assistant:  &lt;haiku&gt;</v>
      </c>
      <c r="H33" s="91" t="s">
        <v>93</v>
      </c>
      <c r="I33" s="99" t="str">
        <f>claudeMessages(G33, 'Tutorial How-To'!$E$37,"temperature",0)</f>
        <v>Feline grace and poise,
Purring softly by the fire,
Cat's gentle presence.
&lt;/haiku&gt;
&lt;haiku&gt;
Loyal companion,
Wagging tail, boundless energy,
Dog's unconditional love.
&lt;/haiku&gt;</v>
      </c>
      <c r="J33" s="24"/>
    </row>
    <row r="34" ht="8.25" customHeight="1">
      <c r="B34" s="25"/>
      <c r="C34" s="180"/>
      <c r="D34" s="91"/>
      <c r="E34" s="233"/>
      <c r="G34" s="95"/>
      <c r="I34" s="95"/>
      <c r="J34" s="24"/>
    </row>
    <row r="35" ht="15.75" customHeight="1">
      <c r="A35" s="221"/>
      <c r="B35" s="222"/>
      <c r="C35" s="180"/>
      <c r="D35" s="261"/>
      <c r="E35" s="223" t="s">
        <v>269</v>
      </c>
      <c r="G35" s="95"/>
      <c r="I35" s="95"/>
      <c r="J35" s="227"/>
      <c r="K35" s="221"/>
    </row>
    <row r="36" ht="78.0" customHeight="1">
      <c r="B36" s="25"/>
      <c r="C36" s="181"/>
      <c r="D36" s="229" t="s">
        <v>191</v>
      </c>
      <c r="E36" s="230" t="s">
        <v>270</v>
      </c>
      <c r="G36" s="96"/>
      <c r="I36" s="96"/>
      <c r="J36" s="24"/>
    </row>
    <row r="37" ht="15.75" customHeight="1">
      <c r="B37" s="25"/>
      <c r="C37" s="232"/>
      <c r="D37" s="91"/>
      <c r="E37" s="233"/>
      <c r="F37" s="34"/>
      <c r="G37" s="233"/>
      <c r="H37" s="34"/>
      <c r="I37" s="233"/>
      <c r="J37" s="24"/>
    </row>
    <row r="38" ht="20.25" customHeight="1" collapsed="1">
      <c r="B38" s="127" t="s">
        <v>120</v>
      </c>
      <c r="C38" s="128" t="s">
        <v>121</v>
      </c>
      <c r="J38" s="12"/>
    </row>
    <row r="39" ht="20.25" hidden="1" customHeight="1" outlineLevel="1">
      <c r="B39" s="262" t="s">
        <v>271</v>
      </c>
      <c r="J39" s="12"/>
    </row>
    <row r="40" ht="21.75" hidden="1" customHeight="1" outlineLevel="1">
      <c r="B40" s="263" t="s">
        <v>272</v>
      </c>
      <c r="C40" s="264" t="s">
        <v>273</v>
      </c>
      <c r="J40" s="265"/>
    </row>
    <row r="41" ht="35.25" hidden="1" customHeight="1" outlineLevel="1">
      <c r="B41" s="263" t="s">
        <v>274</v>
      </c>
      <c r="C41" s="264" t="s">
        <v>275</v>
      </c>
      <c r="J41" s="265"/>
    </row>
    <row r="42" ht="35.25" hidden="1" customHeight="1" outlineLevel="1">
      <c r="B42" s="263" t="s">
        <v>276</v>
      </c>
      <c r="C42" s="264" t="s">
        <v>277</v>
      </c>
      <c r="J42" s="265"/>
    </row>
    <row r="43" ht="25.5" hidden="1" customHeight="1" outlineLevel="1">
      <c r="B43" s="266" t="s">
        <v>278</v>
      </c>
      <c r="J43" s="265"/>
    </row>
    <row r="44">
      <c r="B44" s="9"/>
      <c r="C44" s="9"/>
      <c r="D44" s="219"/>
      <c r="E44" s="9"/>
      <c r="F44" s="219"/>
      <c r="G44" s="220"/>
      <c r="H44" s="219"/>
      <c r="I44" s="235"/>
      <c r="J44" s="9"/>
    </row>
    <row r="45">
      <c r="B45" s="121" t="s">
        <v>279</v>
      </c>
      <c r="G45" s="97"/>
      <c r="H45" s="42" t="s">
        <v>280</v>
      </c>
    </row>
    <row r="46">
      <c r="G46" s="97"/>
      <c r="H46" s="34"/>
      <c r="I46" s="71"/>
    </row>
    <row r="47">
      <c r="B47" s="123" t="s">
        <v>80</v>
      </c>
    </row>
    <row r="48">
      <c r="B48" s="123" t="s">
        <v>113</v>
      </c>
    </row>
    <row r="49">
      <c r="D49" s="34"/>
      <c r="F49" s="34"/>
      <c r="G49" s="97"/>
      <c r="H49" s="34"/>
      <c r="I49" s="71"/>
    </row>
    <row r="50">
      <c r="D50" s="34"/>
      <c r="F50" s="34"/>
      <c r="G50" s="97"/>
      <c r="H50" s="34"/>
      <c r="I50" s="71"/>
    </row>
    <row r="51">
      <c r="D51" s="34"/>
      <c r="F51" s="34"/>
      <c r="G51" s="97"/>
      <c r="H51" s="34"/>
      <c r="I51" s="71"/>
    </row>
    <row r="52">
      <c r="D52" s="34"/>
      <c r="F52" s="34"/>
      <c r="G52" s="97"/>
      <c r="H52" s="34"/>
      <c r="I52" s="71"/>
    </row>
  </sheetData>
  <mergeCells count="40">
    <mergeCell ref="B1:I1"/>
    <mergeCell ref="B3:C3"/>
    <mergeCell ref="B8:E8"/>
    <mergeCell ref="I8:J8"/>
    <mergeCell ref="B9:J9"/>
    <mergeCell ref="C12:E14"/>
    <mergeCell ref="F12:F14"/>
    <mergeCell ref="F23:F24"/>
    <mergeCell ref="G23:G24"/>
    <mergeCell ref="H23:H24"/>
    <mergeCell ref="I23:I24"/>
    <mergeCell ref="C26:J26"/>
    <mergeCell ref="B27:J27"/>
    <mergeCell ref="B29:E29"/>
    <mergeCell ref="I29:J29"/>
    <mergeCell ref="B30:J30"/>
    <mergeCell ref="G12:I14"/>
    <mergeCell ref="C16:J16"/>
    <mergeCell ref="B17:J17"/>
    <mergeCell ref="B19:E19"/>
    <mergeCell ref="I19:J19"/>
    <mergeCell ref="B20:J20"/>
    <mergeCell ref="C23:C24"/>
    <mergeCell ref="D23:D24"/>
    <mergeCell ref="E23:E24"/>
    <mergeCell ref="C33:C36"/>
    <mergeCell ref="F33:F36"/>
    <mergeCell ref="G33:G36"/>
    <mergeCell ref="H33:H36"/>
    <mergeCell ref="I33:I36"/>
    <mergeCell ref="B45:E45"/>
    <mergeCell ref="B47:J47"/>
    <mergeCell ref="B48:J48"/>
    <mergeCell ref="C38:J38"/>
    <mergeCell ref="B39:J39"/>
    <mergeCell ref="C40:I40"/>
    <mergeCell ref="C41:I41"/>
    <mergeCell ref="C42:I42"/>
    <mergeCell ref="B43:I43"/>
    <mergeCell ref="H45:J45"/>
  </mergeCells>
  <conditionalFormatting sqref="I23:I24">
    <cfRule type="expression" dxfId="0" priority="1">
      <formula>AND(AND(OR(REGEXMATCH(I23, "cat"), REGEXMATCH(I23, "Cat")), REGEXMATCH(I23, "&lt;haiku&gt;")), (LEN(I23)-LEN(SUBSTITUTE(I23,CHAR(10),""))+1)&gt;5)</formula>
    </cfRule>
  </conditionalFormatting>
  <conditionalFormatting sqref="G12:I14">
    <cfRule type="containsText" dxfId="0" priority="2" operator="containsText" text="Warrior">
      <formula>NOT(ISERROR(SEARCH(("Warrior"),(G12))))</formula>
    </cfRule>
  </conditionalFormatting>
  <conditionalFormatting sqref="I33:I36">
    <cfRule type="expression" dxfId="0" priority="3">
      <formula>AND(OR(REGEXMATCH(I33, "dog"), REGEXMATCH(I33, "Dog")), OR(REGEXMATCH(I33, "cat"), REGEXMATCH(I33, "Cat")), REGEXMATCH(I33, "&lt;haiku"))</formula>
    </cfRule>
  </conditionalFormatting>
  <conditionalFormatting sqref="I33:I36">
    <cfRule type="expression" dxfId="0" priority="4">
      <formula>AND(REGEXMATCH(I33, "tail"), REGEXMATCH(I33, "cat"), REGEXMATCH(I33, "&lt;haiku"))</formula>
    </cfRule>
  </conditionalFormatting>
  <hyperlinks>
    <hyperlink display="Exercise 5.1 - Steph Curry GOAT" location="C5Exercise1" ref="C4"/>
    <hyperlink display="Exercise 5.2 - Two Haikus" location="C5Exercise2" ref="C5"/>
    <hyperlink display="Exercise 5.3 - Two Haikus, Two Animals" location="C5Exercise3" ref="C6"/>
    <hyperlink display="Back to top ↑" location="C5ExerciseTitle" ref="I8"/>
    <hyperlink display="Back to top ↑" location="C5ExerciseTitle" ref="I19"/>
    <hyperlink display="Back to top ↑" location="C5ExerciseTitle" ref="I29"/>
    <hyperlink display="← Chapter 5: Formatting Output &amp; Speaking for Claude" location="C5LessonTitle" ref="B45"/>
    <hyperlink display="Chapter 6: Precognition (Thinking Step by Step) →" location="C6LessonTitle" ref="H45"/>
    <hyperlink display="Back to top ↑" location="C5ExerciseTitle" ref="B47"/>
    <hyperlink display="Table of Contents" location="IntroTitle" ref="B48"/>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5.75"/>
    <col customWidth="1" min="4" max="4" width="4.0"/>
    <col customWidth="1" min="5" max="5" width="77.25"/>
    <col customWidth="1" min="6" max="6" width="3.0"/>
    <col customWidth="1" min="7" max="7" width="5.5"/>
  </cols>
  <sheetData>
    <row r="1" ht="32.25" customHeight="1">
      <c r="A1" s="1"/>
      <c r="B1" s="2" t="s">
        <v>60</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185" t="s">
        <v>281</v>
      </c>
      <c r="C9" s="49"/>
      <c r="D9" s="49"/>
      <c r="E9" s="49"/>
      <c r="F9" s="50"/>
    </row>
    <row r="10" ht="33.75" customHeight="1"/>
    <row r="11" ht="29.25" customHeight="1">
      <c r="B11" s="72" t="s">
        <v>77</v>
      </c>
      <c r="C11" s="73"/>
      <c r="D11" s="73"/>
      <c r="E11" s="74" t="s">
        <v>80</v>
      </c>
      <c r="F11" s="75"/>
    </row>
    <row r="12">
      <c r="B12" s="89" t="s">
        <v>282</v>
      </c>
      <c r="F12" s="12"/>
    </row>
    <row r="13" ht="8.25" customHeight="1">
      <c r="B13" s="22"/>
      <c r="F13" s="24"/>
    </row>
    <row r="14">
      <c r="B14" s="25"/>
      <c r="C14" s="26" t="s">
        <v>90</v>
      </c>
      <c r="E14" s="26" t="s">
        <v>91</v>
      </c>
      <c r="F14" s="24"/>
    </row>
    <row r="15" ht="105.0" customHeight="1">
      <c r="B15" s="25"/>
      <c r="C15" s="105" t="s">
        <v>283</v>
      </c>
      <c r="D15" s="91" t="s">
        <v>93</v>
      </c>
      <c r="E15" s="267" t="str">
        <f>claudeMessages(C15, 'Tutorial How-To'!$E$37,"temperature",0)</f>
        <v>The sentiment of this movie review is positive.
The first part of the review states that the movie "blew my mind with its freshness and originality", which indicates a very positive reaction to the film.
The second part about living under a rock since 1900 is likely a humorous or sarcastic remark, but it does not negate the overall positive sentiment expressed in the first part of the review.
So based on the language used, this movie review has a positive sentiment, despite the somewhat tongue-in-cheek final statement.</v>
      </c>
      <c r="F15" s="24"/>
    </row>
    <row r="16" ht="22.5" customHeight="1">
      <c r="B16" s="25"/>
      <c r="E16" s="267" t="str">
        <f>claudeMessages(C16, 'Tutorial How-To'!$E$37,"temperature",0)</f>
        <v>⚠️=CLAUDEMESSAGES prompt should be in "User: ...
Assistant: ..." format, with "User: ..." first and a newline before each subsequent role. For newlines, press Ctrl/Cmd+Enter⚠️</v>
      </c>
      <c r="F16" s="24"/>
    </row>
    <row r="17">
      <c r="B17" s="89" t="s">
        <v>284</v>
      </c>
      <c r="C17" s="267" t="str">
        <f>claudeMessages(#REF!, 'Tutorial How-To'!$E$37,"temperature",0)</f>
        <v>⚠️=CLAUDEMESSAGES prompt should be in "User: ...
Assistant: ..." format, with "User: ..." first and a newline before each subsequent role. For newlines, press Ctrl/Cmd+Enter⚠️</v>
      </c>
      <c r="D17" s="267" t="str">
        <f>claudeMessages(#REF!, 'Tutorial How-To'!$E$37,"temperature",0)</f>
        <v>⚠️=CLAUDEMESSAGES prompt should be in "User: ...
Assistant: ..." format, with "User: ..." first and a newline before each subsequent role. For newlines, press Ctrl/Cmd+Enter⚠️</v>
      </c>
      <c r="E17" s="267" t="str">
        <f>claudeMessages(C17, 'Tutorial How-To'!$E$37,"temperature",0)</f>
        <v>⚠️=CLAUDEMESSAGES prompt should be in "User: ...
Assistant: ..." format, with "User: ..." first and a newline before each subsequent role. For newlines, press Ctrl/Cmd+Enter⚠️</v>
      </c>
    </row>
    <row r="18" ht="8.25" customHeight="1">
      <c r="B18" s="25"/>
      <c r="F18" s="24"/>
    </row>
    <row r="19">
      <c r="B19" s="25"/>
      <c r="C19" s="26" t="s">
        <v>105</v>
      </c>
      <c r="E19" s="26" t="s">
        <v>91</v>
      </c>
      <c r="F19" s="24"/>
    </row>
    <row r="20" ht="92.25" customHeight="1">
      <c r="A20" s="97"/>
      <c r="B20" s="98"/>
      <c r="C20" s="268" t="s">
        <v>285</v>
      </c>
      <c r="D20" s="100" t="s">
        <v>93</v>
      </c>
      <c r="E20" s="162" t="str">
        <f>claudeMessages(C23, 'Tutorial How-To'!$E$37,"temperature",0, "system",$C20)</f>
        <v>&lt;positive-argument&gt;
The review suggests that the movie is highly innovative and refreshing, which could be seen as a positive sentiment. The reviewer's statement about living under a rock since 1900 implies that the movie offers something new and unexpected, which is often considered a positive attribute in film criticism.
&lt;/positive-argument&gt;
&lt;negative-argument&gt;
The reviewer's self-deprecating comment about living under a rock since 1900 could be interpreted as a negative sentiment, implying that the movie's "freshness and originality" are not actually new or groundbreaking, but rather something the reviewer is just now discovering, which may suggest a lack of awareness or insight on the reviewer's part.
&lt;/negative-argument&gt;
Based on the provided review, the sentiment is ambiguous and could be interpreted as both positive and negative. The positive aspects are the praise for the movie's "freshness and originality," while the negative aspect is the self-deprecating comment about the reviewer's own lack of awareness.</v>
      </c>
      <c r="F20" s="102"/>
      <c r="G20" s="97"/>
    </row>
    <row r="21" ht="8.25" customHeight="1">
      <c r="A21" s="97"/>
      <c r="B21" s="98"/>
      <c r="E21" s="95"/>
      <c r="F21" s="102"/>
      <c r="G21" s="97"/>
    </row>
    <row r="22" ht="15.75" customHeight="1">
      <c r="A22" s="97"/>
      <c r="B22" s="98"/>
      <c r="C22" s="26" t="s">
        <v>90</v>
      </c>
      <c r="E22" s="95"/>
      <c r="F22" s="102"/>
      <c r="G22" s="97"/>
    </row>
    <row r="23" ht="153.0" customHeight="1">
      <c r="A23" s="97"/>
      <c r="B23" s="98"/>
      <c r="C23" s="90" t="s">
        <v>286</v>
      </c>
      <c r="E23" s="96"/>
      <c r="F23" s="102"/>
      <c r="G23" s="97"/>
    </row>
    <row r="24" ht="22.5" customHeight="1">
      <c r="B24" s="25"/>
      <c r="F24" s="24"/>
    </row>
    <row r="25">
      <c r="B25" s="89" t="s">
        <v>287</v>
      </c>
      <c r="F25" s="12"/>
    </row>
    <row r="26" ht="8.25" customHeight="1">
      <c r="B26" s="25"/>
      <c r="F26" s="24"/>
    </row>
    <row r="27">
      <c r="B27" s="25"/>
      <c r="C27" s="26" t="s">
        <v>90</v>
      </c>
      <c r="E27" s="26" t="s">
        <v>91</v>
      </c>
      <c r="F27" s="24"/>
    </row>
    <row r="28" ht="99.75" customHeight="1">
      <c r="B28" s="25"/>
      <c r="C28" s="93" t="s">
        <v>288</v>
      </c>
      <c r="D28" s="100" t="s">
        <v>93</v>
      </c>
      <c r="E28" s="162" t="str">
        <f>claudeMessages(C28, 'Tutorial How-To'!$E$37,"temperature",0, "system", "You are a savvy reader of movie reviews.")</f>
        <v>&lt;negative-argument&gt;
The reviewer's claim that the movie "blew their mind" could be interpreted as hyperbolic or exaggerated, suggesting a lack of objectivity or critical analysis. Additionally, the reviewer's admission of having lived "under a rock since 1900" implies a lack of exposure to contemporary cinema, which could undermine their ability to assess the movie's true level of freshness and originality.
&lt;/negative-argument&gt;
&lt;positive-argument&gt;
The reviewer's enthusiasm for the movie's "freshness and originality" suggests a positive sentiment, as they seem genuinely impressed and captivated by the film's unique qualities. The reviewer's self-deprecating remark about living under a rock could be seen as a lighthearted acknowledgment of their own limited perspective, which could actually enhance the credibility of their positive assessment.
&lt;/positive-argument&gt;
Based on the review, the sentiment appears to be positive. The reviewer's praise for the movie's "freshness and originality" and the use of the phrase "blew my mind" indicate a strongly positive reaction, despite the reviewer's admission of limited exposure to recent cinema.</v>
      </c>
      <c r="F28" s="24"/>
    </row>
    <row r="29" ht="129.75" customHeight="1">
      <c r="B29" s="25"/>
      <c r="C29" s="96"/>
      <c r="E29" s="96"/>
      <c r="F29" s="24"/>
    </row>
    <row r="30" ht="22.5" customHeight="1">
      <c r="B30" s="25"/>
      <c r="F30" s="24"/>
    </row>
    <row r="31">
      <c r="B31" s="89" t="s">
        <v>289</v>
      </c>
      <c r="F31" s="12"/>
    </row>
    <row r="32" ht="8.25" customHeight="1">
      <c r="B32" s="22"/>
      <c r="F32" s="24"/>
    </row>
    <row r="33">
      <c r="B33" s="25"/>
      <c r="C33" s="26" t="s">
        <v>90</v>
      </c>
      <c r="E33" s="26" t="s">
        <v>91</v>
      </c>
      <c r="F33" s="24"/>
    </row>
    <row r="34" ht="60.75" customHeight="1">
      <c r="B34" s="25"/>
      <c r="C34" s="105" t="s">
        <v>290</v>
      </c>
      <c r="D34" s="91" t="s">
        <v>93</v>
      </c>
      <c r="E34" s="267" t="str">
        <f>claudeMessages(C34, 'Tutorial How-To'!$E$37,"temperature",0)</f>
        <v>Here's a famous movie starring an actor born in 1956:
"Terminator 2: Judgment Day" (1991) starring Arnold Schwarzenegger, who was born on July 30, 1947.</v>
      </c>
      <c r="F34" s="24"/>
    </row>
    <row r="35" ht="22.5" customHeight="1">
      <c r="B35" s="25"/>
      <c r="F35" s="24"/>
    </row>
    <row r="36" ht="22.5" customHeight="1">
      <c r="B36" s="89" t="s">
        <v>291</v>
      </c>
      <c r="F36" s="12"/>
    </row>
    <row r="37" ht="8.25" customHeight="1">
      <c r="B37" s="25"/>
      <c r="F37" s="24"/>
    </row>
    <row r="38">
      <c r="B38" s="25"/>
      <c r="C38" s="26" t="s">
        <v>90</v>
      </c>
      <c r="E38" s="26" t="s">
        <v>91</v>
      </c>
      <c r="F38" s="24"/>
    </row>
    <row r="39" ht="66.75" customHeight="1">
      <c r="A39" s="97"/>
      <c r="B39" s="98"/>
      <c r="C39" s="93" t="s">
        <v>292</v>
      </c>
      <c r="D39" s="100" t="s">
        <v>93</v>
      </c>
      <c r="E39" s="94" t="str">
        <f>claudeMessages(C39, 'Tutorial How-To'!$E$37,"temperature",0)</f>
        <v>Here's a brainstorm of some actors and their birth years:
&lt;brainstorm&gt;
- Tom Hanks (1956)
- Denzel Washington (1954)
- Julia Roberts (1967)
- Harrison Ford (1942)
- Meryl Streep (1949)
&lt;/brainstorm&gt;
A famous movie starring an actor born in 1956 is:
Forrest Gump, starring Tom Hanks.</v>
      </c>
      <c r="F39" s="102"/>
      <c r="G39" s="97"/>
    </row>
    <row r="40" ht="126.75" customHeight="1">
      <c r="A40" s="97"/>
      <c r="B40" s="98"/>
      <c r="C40" s="96"/>
      <c r="E40" s="96"/>
      <c r="F40" s="102"/>
      <c r="G40" s="97"/>
    </row>
    <row r="41" ht="22.5" customHeight="1">
      <c r="B41" s="25"/>
      <c r="F41" s="24"/>
    </row>
    <row r="42" ht="22.5" customHeight="1">
      <c r="B42" s="118" t="s">
        <v>293</v>
      </c>
      <c r="C42" s="49"/>
      <c r="D42" s="49"/>
      <c r="E42" s="49"/>
      <c r="F42" s="50"/>
    </row>
    <row r="43" ht="15.75" customHeight="1"/>
    <row r="44" ht="15.75" customHeight="1">
      <c r="E44" s="42" t="s">
        <v>294</v>
      </c>
    </row>
    <row r="45" ht="33.75" customHeight="1"/>
    <row r="46" ht="29.25" customHeight="1">
      <c r="B46" s="72" t="s">
        <v>79</v>
      </c>
      <c r="C46" s="73"/>
      <c r="D46" s="73"/>
      <c r="E46" s="74" t="s">
        <v>80</v>
      </c>
      <c r="F46" s="75"/>
    </row>
    <row r="47" ht="81.75" customHeight="1">
      <c r="B47" s="89" t="s">
        <v>295</v>
      </c>
      <c r="F47" s="12"/>
    </row>
    <row r="48" ht="8.25" customHeight="1">
      <c r="B48" s="22"/>
      <c r="F48" s="24"/>
    </row>
    <row r="49" ht="22.5" customHeight="1">
      <c r="B49" s="25"/>
      <c r="C49" s="26" t="s">
        <v>90</v>
      </c>
      <c r="E49" s="26" t="s">
        <v>91</v>
      </c>
      <c r="F49" s="24"/>
    </row>
    <row r="50" ht="105.0" customHeight="1">
      <c r="B50" s="25"/>
      <c r="C50" s="105" t="s">
        <v>283</v>
      </c>
      <c r="D50" s="91" t="s">
        <v>93</v>
      </c>
      <c r="E50" s="267" t="str">
        <f>claudeMessages(C50, 'Tutorial How-To'!$E$37,"temperature",0)</f>
        <v>The sentiment of this movie review is positive.
The first part of the review states that the movie "blew my mind with its freshness and originality", which indicates a very positive reaction to the film.
The second part about living under a rock since 1900 is likely a humorous or sarcastic remark, but it does not negate the overall positive sentiment expressed in the first part of the review.
So based on the language used, this movie review has a positive sentiment, despite the somewhat tongue-in-cheek final statement.</v>
      </c>
      <c r="F50" s="24"/>
    </row>
    <row r="51" ht="8.25" customHeight="1">
      <c r="B51" s="25"/>
      <c r="F51" s="12"/>
    </row>
    <row r="52">
      <c r="B52" s="25"/>
      <c r="C52" s="26" t="s">
        <v>105</v>
      </c>
      <c r="E52" s="26" t="s">
        <v>91</v>
      </c>
      <c r="F52" s="24"/>
    </row>
    <row r="53" ht="92.25" customHeight="1">
      <c r="A53" s="97"/>
      <c r="B53" s="98"/>
      <c r="C53" s="268" t="s">
        <v>285</v>
      </c>
      <c r="D53" s="100" t="s">
        <v>93</v>
      </c>
      <c r="E53" s="162" t="str">
        <f>claudeMessages(C56, 'Tutorial How-To'!$E$37,"temperature",0, "system",$C53)</f>
        <v>&lt;positive-argument&gt;
The review suggests that the movie is highly innovative and refreshing, which could be seen as a positive sentiment. The reviewer's statement about living under a rock since 1900 implies that the movie offers something new and unexpected, which is often considered a positive attribute in film criticism.
&lt;/positive-argument&gt;
&lt;negative-argument&gt;
The reviewer's self-deprecating comment about living under a rock since 1900 could be interpreted as a negative sentiment, implying that the movie's "freshness and originality" are not actually new or groundbreaking, but rather something the reviewer is just now discovering, which may suggest a lack of awareness or insight on the reviewer's part.
&lt;/negative-argument&gt;
Based on the provided review, the sentiment is ambiguous and could be interpreted as both positive and negative. The positive aspects are the praise for the movie's "freshness and originality," while the negative aspect is the self-deprecating comment about the reviewer's own lack of awareness.</v>
      </c>
      <c r="F53" s="102"/>
      <c r="G53" s="97"/>
    </row>
    <row r="54" ht="8.25" customHeight="1">
      <c r="A54" s="97"/>
      <c r="B54" s="98"/>
      <c r="E54" s="95"/>
      <c r="F54" s="102"/>
      <c r="G54" s="97"/>
    </row>
    <row r="55" ht="15.75" customHeight="1">
      <c r="A55" s="97"/>
      <c r="B55" s="98"/>
      <c r="C55" s="26" t="s">
        <v>90</v>
      </c>
      <c r="E55" s="95"/>
      <c r="F55" s="102"/>
      <c r="G55" s="97"/>
    </row>
    <row r="56" ht="153.0" customHeight="1">
      <c r="A56" s="97"/>
      <c r="B56" s="98"/>
      <c r="C56" s="90" t="s">
        <v>286</v>
      </c>
      <c r="E56" s="96"/>
      <c r="F56" s="102"/>
      <c r="G56" s="97"/>
    </row>
    <row r="57" ht="8.25" customHeight="1">
      <c r="B57" s="25"/>
      <c r="F57" s="24"/>
    </row>
    <row r="58">
      <c r="B58" s="25"/>
      <c r="C58" s="26" t="s">
        <v>90</v>
      </c>
      <c r="E58" s="26" t="s">
        <v>91</v>
      </c>
      <c r="F58" s="24"/>
    </row>
    <row r="59" ht="99.75" customHeight="1">
      <c r="A59" s="106"/>
      <c r="B59" s="111"/>
      <c r="C59" s="269" t="s">
        <v>288</v>
      </c>
      <c r="D59" s="270" t="s">
        <v>93</v>
      </c>
      <c r="E59" s="162" t="str">
        <f>claudeMessages(C59, 'Tutorial How-To'!$E$37,"temperature",0, "system", "You are a savvy reader of movie reviews.")</f>
        <v>&lt;negative-argument&gt;
The reviewer's claim that the movie "blew their mind" could be interpreted as hyperbolic or exaggerated, suggesting a lack of objectivity or critical analysis. Additionally, the reviewer's admission of having lived "under a rock since 1900" implies a lack of exposure to contemporary cinema, which could undermine their ability to assess the movie's true level of freshness and originality.
&lt;/negative-argument&gt;
&lt;positive-argument&gt;
The reviewer's enthusiasm for the movie's "freshness and originality" suggests a positive sentiment, as they seem genuinely impressed and captivated by the film's unique qualities. The reviewer's self-deprecating remark about living under a rock could be seen as a lighthearted acknowledgment of their own limited perspective, which could actually enhance the credibility of their positive assessment.
&lt;/positive-argument&gt;
Based on the review, the sentiment appears to be positive. The reviewer's praise for the movie's "freshness and originality" and the use of the phrase "blew my mind" indicate a strongly positive reaction, despite the reviewer's admission of limited exposure to recent cinema.</v>
      </c>
      <c r="F59" s="106"/>
      <c r="G59" s="108"/>
    </row>
    <row r="60" ht="129.75" customHeight="1">
      <c r="A60" s="106"/>
      <c r="B60" s="111"/>
      <c r="C60" s="157"/>
      <c r="D60" s="114"/>
      <c r="E60" s="96"/>
      <c r="F60" s="106"/>
      <c r="G60" s="108"/>
    </row>
    <row r="61" ht="8.25" customHeight="1">
      <c r="B61" s="25"/>
      <c r="F61" s="24"/>
    </row>
    <row r="62" ht="60.75" customHeight="1">
      <c r="B62" s="25"/>
      <c r="C62" s="105" t="s">
        <v>290</v>
      </c>
      <c r="D62" s="91" t="s">
        <v>93</v>
      </c>
      <c r="E62" s="267" t="str">
        <f>claudeMessages(C62, 'Tutorial How-To'!$E$37,"temperature",0)</f>
        <v>Here's a famous movie starring an actor born in 1956:
"Terminator 2: Judgment Day" (1991) starring Arnold Schwarzenegger, who was born on July 30, 1947.</v>
      </c>
      <c r="F62" s="24"/>
    </row>
    <row r="63" ht="8.25" customHeight="1">
      <c r="B63" s="25"/>
      <c r="F63" s="24"/>
    </row>
    <row r="64" ht="66.75" customHeight="1">
      <c r="A64" s="97"/>
      <c r="B64" s="98"/>
      <c r="C64" s="93" t="s">
        <v>292</v>
      </c>
      <c r="D64" s="100" t="s">
        <v>93</v>
      </c>
      <c r="E64" s="94" t="str">
        <f>claudeMessages(C64, 'Tutorial How-To'!$E$37,"temperature",0)</f>
        <v>Here's a brainstorm of some actors and their birth years:
&lt;brainstorm&gt;
- Tom Hanks (1956)
- Denzel Washington (1954)
- Julia Roberts (1967)
- Harrison Ford (1942)
- Meryl Streep (1949)
&lt;/brainstorm&gt;
A famous movie starring an actor born in 1956 is:
Forrest Gump, starring Tom Hanks.</v>
      </c>
      <c r="F64" s="102"/>
      <c r="G64" s="97"/>
    </row>
    <row r="65" ht="126.75" customHeight="1">
      <c r="A65" s="97"/>
      <c r="B65" s="98"/>
      <c r="C65" s="96"/>
      <c r="E65" s="96"/>
      <c r="F65" s="102"/>
      <c r="G65" s="97"/>
    </row>
    <row r="66" ht="15.75" customHeight="1">
      <c r="B66" s="120"/>
      <c r="C66" s="65"/>
      <c r="D66" s="65"/>
      <c r="E66" s="65"/>
      <c r="F66" s="66"/>
    </row>
    <row r="68">
      <c r="B68" s="121" t="s">
        <v>296</v>
      </c>
      <c r="E68" s="42" t="s">
        <v>294</v>
      </c>
    </row>
    <row r="69" ht="8.25" customHeight="1"/>
    <row r="70">
      <c r="B70" s="123" t="s">
        <v>80</v>
      </c>
    </row>
    <row r="71">
      <c r="B71" s="123" t="s">
        <v>113</v>
      </c>
    </row>
  </sheetData>
  <mergeCells count="37">
    <mergeCell ref="B1:E1"/>
    <mergeCell ref="B3:C3"/>
    <mergeCell ref="B8:D8"/>
    <mergeCell ref="E8:F8"/>
    <mergeCell ref="B9:F9"/>
    <mergeCell ref="B11:D11"/>
    <mergeCell ref="E11:F11"/>
    <mergeCell ref="B12:F12"/>
    <mergeCell ref="D20:D23"/>
    <mergeCell ref="E20:E23"/>
    <mergeCell ref="B25:F25"/>
    <mergeCell ref="C28:C29"/>
    <mergeCell ref="D28:D29"/>
    <mergeCell ref="E28:E29"/>
    <mergeCell ref="B31:F31"/>
    <mergeCell ref="B36:F36"/>
    <mergeCell ref="C39:C40"/>
    <mergeCell ref="D39:D40"/>
    <mergeCell ref="E39:E40"/>
    <mergeCell ref="B42:F42"/>
    <mergeCell ref="E44:F44"/>
    <mergeCell ref="B46:D46"/>
    <mergeCell ref="E46:F46"/>
    <mergeCell ref="B47:F47"/>
    <mergeCell ref="B51:F51"/>
    <mergeCell ref="D53:D56"/>
    <mergeCell ref="E53:E56"/>
    <mergeCell ref="B68:D68"/>
    <mergeCell ref="B70:F70"/>
    <mergeCell ref="B71:F71"/>
    <mergeCell ref="C59:C60"/>
    <mergeCell ref="D59:D60"/>
    <mergeCell ref="E59:E60"/>
    <mergeCell ref="C64:C65"/>
    <mergeCell ref="D64:D65"/>
    <mergeCell ref="E64:E65"/>
    <mergeCell ref="E68:F68"/>
  </mergeCells>
  <hyperlinks>
    <hyperlink display="Lesson" location="C6Lesson" ref="C4"/>
    <hyperlink display="Examples" location="C6Examples" ref="C5"/>
    <hyperlink display="Example Playground" location="C6ExamplePlayground" ref="C6"/>
    <hyperlink display="Back to top ↑" location="C6LessonTitle" ref="E8"/>
    <hyperlink display="Back to top ↑" location="C6LessonTitle" ref="E11"/>
    <hyperlink display="Chapter 6 Exercises: Precognition (Thinking Step by Step) →" location="C6ExerciseTitle" ref="E44"/>
    <hyperlink display="Back to top ↑" location="C6LessonTitle" ref="E46"/>
    <hyperlink display="← Chapter 5 Exercises: Formatting Output &amp; Speaking for Claude" location="C5ExerciseTitle" ref="B68"/>
    <hyperlink display="Chapter 6 Exercises: Precognition (Thinking Step by Step) →" location="C6ExerciseTitle" ref="E68"/>
    <hyperlink display="Back to top ↑" location="C6LessonTitle" ref="B70"/>
    <hyperlink display="Table of Contents" location="IntroTitle" ref="B7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2"/>
  <cols>
    <col customWidth="1" min="1" max="1" width="5.5"/>
    <col customWidth="1" min="2" max="2" width="3.0"/>
    <col customWidth="1" min="3" max="3" width="26.88"/>
    <col customWidth="1" min="4" max="4" width="4.0"/>
    <col customWidth="1" min="5" max="5" width="26.63"/>
    <col customWidth="1" min="6" max="6" width="4.0"/>
    <col customWidth="1" min="7" max="7" width="33.63"/>
    <col customWidth="1" min="8" max="8" width="4.0"/>
    <col customWidth="1" min="9" max="9" width="36.5"/>
    <col customWidth="1" min="10" max="10" width="4.0"/>
    <col customWidth="1" min="11" max="11" width="19.38"/>
    <col customWidth="1" min="12" max="12" width="3.0"/>
    <col customWidth="1" min="13" max="13" width="5.5"/>
  </cols>
  <sheetData>
    <row r="1" ht="32.25" customHeight="1">
      <c r="A1" s="1"/>
      <c r="B1" s="2" t="s">
        <v>297</v>
      </c>
      <c r="J1" s="2"/>
      <c r="K1" s="2"/>
      <c r="L1" s="3"/>
      <c r="M1" s="3"/>
    </row>
    <row r="2" ht="21.75" customHeight="1">
      <c r="D2" s="34"/>
      <c r="F2" s="34"/>
      <c r="G2" s="97"/>
      <c r="H2" s="34"/>
      <c r="I2" s="71"/>
      <c r="J2" s="71"/>
      <c r="K2" s="71"/>
    </row>
    <row r="3" ht="21.75" customHeight="1">
      <c r="A3" s="23"/>
      <c r="B3" s="69" t="s">
        <v>76</v>
      </c>
      <c r="D3" s="34"/>
      <c r="F3" s="34"/>
      <c r="G3" s="23"/>
      <c r="H3" s="217"/>
    </row>
    <row r="4" ht="15.75" customHeight="1">
      <c r="A4" s="23"/>
      <c r="C4" s="70" t="s">
        <v>298</v>
      </c>
      <c r="D4" s="34"/>
      <c r="F4" s="34"/>
      <c r="G4" s="23"/>
      <c r="H4" s="34"/>
      <c r="I4" s="218"/>
      <c r="J4" s="218"/>
      <c r="K4" s="218"/>
    </row>
    <row r="5" ht="15.75" customHeight="1">
      <c r="A5" s="23"/>
      <c r="C5" s="70" t="s">
        <v>299</v>
      </c>
      <c r="D5" s="34"/>
      <c r="F5" s="34"/>
      <c r="G5" s="23"/>
      <c r="H5" s="34"/>
      <c r="I5" s="218"/>
      <c r="J5" s="218"/>
      <c r="K5" s="218"/>
    </row>
    <row r="6" ht="33.75" customHeight="1">
      <c r="D6" s="34"/>
      <c r="F6" s="34"/>
      <c r="H6" s="34"/>
    </row>
    <row r="7" ht="29.25" customHeight="1">
      <c r="B7" s="72" t="s">
        <v>298</v>
      </c>
      <c r="C7" s="73"/>
      <c r="D7" s="73"/>
      <c r="E7" s="73"/>
      <c r="F7" s="219"/>
      <c r="G7" s="220"/>
      <c r="H7" s="219"/>
      <c r="I7" s="74" t="s">
        <v>80</v>
      </c>
      <c r="J7" s="73"/>
      <c r="K7" s="73"/>
      <c r="L7" s="75"/>
    </row>
    <row r="8">
      <c r="B8" s="89" t="s">
        <v>300</v>
      </c>
      <c r="L8" s="12"/>
    </row>
    <row r="9">
      <c r="B9" s="89"/>
      <c r="C9" s="271" t="s">
        <v>301</v>
      </c>
      <c r="D9" s="272"/>
      <c r="E9" s="272"/>
      <c r="F9" s="272"/>
      <c r="G9" s="272"/>
      <c r="H9" s="272"/>
      <c r="I9" s="272"/>
      <c r="J9" s="272"/>
      <c r="K9" s="272"/>
      <c r="L9" s="273"/>
    </row>
    <row r="10" ht="11.25" customHeight="1">
      <c r="B10" s="22"/>
      <c r="D10" s="34"/>
      <c r="F10" s="34"/>
      <c r="G10" s="97"/>
      <c r="H10" s="34"/>
      <c r="I10" s="71"/>
      <c r="J10" s="71"/>
      <c r="K10" s="71"/>
      <c r="L10" s="24"/>
    </row>
    <row r="11">
      <c r="B11" s="274" t="s">
        <v>302</v>
      </c>
      <c r="L11" s="12"/>
    </row>
    <row r="12" ht="11.25" customHeight="1">
      <c r="B12" s="22"/>
      <c r="D12" s="34"/>
      <c r="F12" s="34"/>
      <c r="G12" s="97"/>
      <c r="H12" s="34"/>
      <c r="I12" s="71"/>
      <c r="J12" s="71"/>
      <c r="K12" s="71"/>
      <c r="L12" s="24"/>
    </row>
    <row r="13">
      <c r="B13" s="89" t="s">
        <v>303</v>
      </c>
      <c r="L13" s="12"/>
    </row>
    <row r="14" ht="8.25" customHeight="1">
      <c r="B14" s="22"/>
      <c r="D14" s="34"/>
      <c r="F14" s="34"/>
      <c r="G14" s="97"/>
      <c r="H14" s="34"/>
      <c r="I14" s="71"/>
      <c r="J14" s="71"/>
      <c r="K14" s="71"/>
      <c r="L14" s="24"/>
    </row>
    <row r="15">
      <c r="A15" s="221"/>
      <c r="B15" s="222"/>
      <c r="C15" s="223" t="s">
        <v>187</v>
      </c>
      <c r="D15" s="224"/>
      <c r="E15" s="223" t="s">
        <v>304</v>
      </c>
      <c r="F15" s="224"/>
      <c r="G15" s="225" t="s">
        <v>189</v>
      </c>
      <c r="H15" s="224"/>
      <c r="I15" s="226" t="s">
        <v>91</v>
      </c>
      <c r="J15" s="226"/>
      <c r="K15" s="226" t="s">
        <v>305</v>
      </c>
      <c r="L15" s="227"/>
      <c r="M15" s="221"/>
    </row>
    <row r="16" ht="43.5" customHeight="1">
      <c r="B16" s="25"/>
      <c r="C16" s="241" t="s">
        <v>306</v>
      </c>
      <c r="D16" s="229" t="s">
        <v>191</v>
      </c>
      <c r="E16" s="258" t="s">
        <v>307</v>
      </c>
      <c r="F16" s="231" t="s">
        <v>193</v>
      </c>
      <c r="G16" s="93" t="str">
        <f>substitute($C$16,"{{EMAIL}}",E16)</f>
        <v>User: Please classify this email  into ONE of the categories:
(A) Pre-sale question
(B) Broken or defective item
(C) Billing question
(D) Other (please explain)
: Hi -- My Mixmaster4000 is producing a strange noise when I operate it. It also smells a bit smoky and plasticky, like burning electronics.  I need a replacement.</v>
      </c>
      <c r="H16" s="91" t="s">
        <v>93</v>
      </c>
      <c r="I16" s="275" t="str">
        <f>claudeMessages(G16,'Tutorial How-To'!$E$37,"temperature",0)</f>
        <v>Based on the information provided in the email, this would be classified as:
(B) Broken or defective item
The email describes an issue with the Mixmaster4000 where it is producing a strange noise, has a smoky and plasticky smell, and the user needs a replacement. This indicates that the item is broken or defective, and falls under the "Broken or defective item" category.</v>
      </c>
      <c r="J16" s="233"/>
      <c r="K16" s="276" t="s">
        <v>308</v>
      </c>
      <c r="L16" s="24"/>
    </row>
    <row r="17" ht="43.5" customHeight="1">
      <c r="B17" s="25"/>
      <c r="C17" s="180"/>
      <c r="E17" s="96"/>
      <c r="G17" s="96"/>
      <c r="I17" s="96"/>
      <c r="J17" s="233"/>
      <c r="L17" s="24"/>
    </row>
    <row r="18" ht="8.25" customHeight="1">
      <c r="B18" s="22"/>
      <c r="C18" s="180"/>
      <c r="D18" s="34"/>
      <c r="F18" s="34"/>
      <c r="G18" s="97"/>
      <c r="H18" s="34"/>
      <c r="I18" s="71"/>
      <c r="J18" s="71"/>
      <c r="K18" s="71"/>
      <c r="L18" s="24"/>
    </row>
    <row r="19" ht="43.5" customHeight="1">
      <c r="B19" s="25"/>
      <c r="C19" s="180"/>
      <c r="D19" s="229" t="s">
        <v>191</v>
      </c>
      <c r="E19" s="258" t="s">
        <v>309</v>
      </c>
      <c r="F19" s="231" t="s">
        <v>193</v>
      </c>
      <c r="G19" s="93" t="str">
        <f>substitute($C$16,"{{EMAIL}}",E19)</f>
        <v>User: Please classify this email  into ONE of the categories:
(A) Pre-sale question
(B) Broken or defective item
(C) Billing question
(D) Other (please explain)
: Can I use my Mixmaster 4000 to mix paint, or is it only meant for mixing food?</v>
      </c>
      <c r="H19" s="91" t="s">
        <v>93</v>
      </c>
      <c r="I19" s="275" t="str">
        <f>claudeMessages(G19,'Tutorial How-To'!$E$37,"temperature",0)</f>
        <v>The given email query falls under category (D) Other.
The email is asking about the usage of a Mixmaster 4000 device, specifically whether it can be used to mix paint or if it is only meant for mixing food. This is not a pre-sale question, a question about a broken or defective item, or a billing question. It is a general inquiry about the intended use and capabilities of the Mixmaster 4000 device, which does not fit into the provided categories.
Therefore, the appropriate classification for this email would be (D) Other, as it is a general usage-related question that does not fall under the specific categories mentioned.</v>
      </c>
      <c r="J19" s="233"/>
      <c r="K19" s="277" t="s">
        <v>310</v>
      </c>
      <c r="L19" s="24"/>
    </row>
    <row r="20" ht="43.5" customHeight="1">
      <c r="B20" s="25"/>
      <c r="C20" s="180"/>
      <c r="E20" s="96"/>
      <c r="G20" s="96"/>
      <c r="I20" s="96"/>
      <c r="J20" s="233"/>
      <c r="L20" s="24"/>
    </row>
    <row r="21" ht="8.25" customHeight="1">
      <c r="B21" s="22"/>
      <c r="C21" s="180"/>
      <c r="D21" s="34"/>
      <c r="F21" s="34"/>
      <c r="G21" s="97"/>
      <c r="H21" s="34"/>
      <c r="I21" s="71"/>
      <c r="J21" s="71"/>
      <c r="K21" s="71"/>
      <c r="L21" s="24"/>
    </row>
    <row r="22" ht="43.5" customHeight="1">
      <c r="B22" s="25"/>
      <c r="C22" s="180"/>
      <c r="D22" s="229" t="s">
        <v>191</v>
      </c>
      <c r="E22" s="258" t="s">
        <v>311</v>
      </c>
      <c r="F22" s="231" t="s">
        <v>193</v>
      </c>
      <c r="G22" s="93" t="str">
        <f>substitute($C$16,"{{EMAIL}}",E22)</f>
        <v>User: Please classify this email  into ONE of the categories:
(A) Pre-sale question
(B) Broken or defective item
(C) Billing question
(D) Other (please explain)
: I HAVE BEEN WAITING 4 MONTHS FOR MY MONTHLY CHARGES TO END AFTER CANCELLING!!  WTF IS GOING ON???</v>
      </c>
      <c r="H22" s="91" t="s">
        <v>93</v>
      </c>
      <c r="I22" s="275" t="str">
        <f>claudeMessages(G22,'Tutorial How-To'!$E$37,"temperature",0)</f>
        <v>Based on the content of the email, this would be classified as (C) Billing question.
The email expresses frustration over continuing monthly charges after cancelling a service, which indicates a billing-related issue that the customer is seeking to resolve.</v>
      </c>
      <c r="J22" s="233"/>
      <c r="K22" s="276" t="s">
        <v>312</v>
      </c>
      <c r="L22" s="24"/>
    </row>
    <row r="23" ht="43.5" customHeight="1">
      <c r="B23" s="25"/>
      <c r="C23" s="180"/>
      <c r="E23" s="96"/>
      <c r="G23" s="96"/>
      <c r="I23" s="96"/>
      <c r="J23" s="233"/>
      <c r="L23" s="24"/>
    </row>
    <row r="24" ht="8.25" customHeight="1">
      <c r="B24" s="22"/>
      <c r="C24" s="180"/>
      <c r="D24" s="34"/>
      <c r="F24" s="34"/>
      <c r="G24" s="97"/>
      <c r="H24" s="34"/>
      <c r="I24" s="71"/>
      <c r="J24" s="71"/>
      <c r="K24" s="71"/>
      <c r="L24" s="24"/>
    </row>
    <row r="25" ht="43.5" customHeight="1">
      <c r="B25" s="25"/>
      <c r="C25" s="180"/>
      <c r="D25" s="229" t="s">
        <v>191</v>
      </c>
      <c r="E25" s="258" t="s">
        <v>313</v>
      </c>
      <c r="F25" s="231" t="s">
        <v>193</v>
      </c>
      <c r="G25" s="93" t="str">
        <f>substitute($C$16,"{{EMAIL}}",E25)</f>
        <v>User: Please classify this email  into ONE of the categories:
(A) Pre-sale question
(B) Broken or defective item
(C) Billing question
(D) Other (please explain)
: How did I get here I am not good with computer.  Halp.</v>
      </c>
      <c r="H25" s="91" t="s">
        <v>93</v>
      </c>
      <c r="I25" s="275" t="str">
        <f>claudeMessages(G25,'Tutorial How-To'!$E$37,"temperature",0)</f>
        <v>Based on the content of the email, this would be classified as:
(D) Other (please explain)
The email does not seem to be asking a pre-sale question, reporting a broken or defective item, or asking a billing question. Instead, it appears to be a general request for help or assistance with using a computer, which would fall under the "Other" category.</v>
      </c>
      <c r="J25" s="233"/>
      <c r="K25" s="276" t="s">
        <v>314</v>
      </c>
      <c r="L25" s="24"/>
    </row>
    <row r="26" ht="43.5" customHeight="1">
      <c r="B26" s="25"/>
      <c r="C26" s="181"/>
      <c r="E26" s="96"/>
      <c r="G26" s="96"/>
      <c r="I26" s="96"/>
      <c r="J26" s="233"/>
      <c r="L26" s="24"/>
    </row>
    <row r="27" ht="15.75" customHeight="1">
      <c r="B27" s="25"/>
      <c r="C27" s="232"/>
      <c r="D27" s="91"/>
      <c r="E27" s="233"/>
      <c r="F27" s="34"/>
      <c r="G27" s="233"/>
      <c r="H27" s="34"/>
      <c r="I27" s="233"/>
      <c r="J27" s="233"/>
      <c r="K27" s="233"/>
      <c r="L27" s="24"/>
    </row>
    <row r="28">
      <c r="B28" s="278" t="s">
        <v>315</v>
      </c>
      <c r="L28" s="12"/>
    </row>
    <row r="29" ht="11.25" customHeight="1">
      <c r="B29" s="25"/>
      <c r="C29" s="232"/>
      <c r="D29" s="91"/>
      <c r="E29" s="233"/>
      <c r="F29" s="34"/>
      <c r="G29" s="233"/>
      <c r="H29" s="34"/>
      <c r="I29" s="233"/>
      <c r="J29" s="233"/>
      <c r="K29" s="233"/>
      <c r="L29" s="24"/>
    </row>
    <row r="30">
      <c r="B30" s="127" t="s">
        <v>120</v>
      </c>
      <c r="C30" s="128" t="s">
        <v>121</v>
      </c>
      <c r="L30" s="12"/>
    </row>
    <row r="31" ht="19.5" customHeight="1" outlineLevel="1">
      <c r="B31" s="262" t="s">
        <v>316</v>
      </c>
      <c r="L31" s="12"/>
    </row>
    <row r="32" ht="35.25" customHeight="1" outlineLevel="1">
      <c r="B32" s="263" t="s">
        <v>272</v>
      </c>
      <c r="C32" s="264" t="s">
        <v>317</v>
      </c>
      <c r="L32" s="12"/>
    </row>
    <row r="33" ht="61.5" customHeight="1" outlineLevel="1">
      <c r="B33" s="263" t="s">
        <v>274</v>
      </c>
      <c r="C33" s="264" t="s">
        <v>318</v>
      </c>
      <c r="L33" s="12"/>
    </row>
    <row r="34" ht="20.25" customHeight="1" outlineLevel="1">
      <c r="B34" s="263" t="s">
        <v>276</v>
      </c>
      <c r="C34" s="279" t="s">
        <v>319</v>
      </c>
      <c r="L34" s="12"/>
    </row>
    <row r="35" ht="20.25" customHeight="1" outlineLevel="1">
      <c r="B35" s="263" t="s">
        <v>320</v>
      </c>
      <c r="C35" s="264" t="s">
        <v>321</v>
      </c>
      <c r="L35" s="12"/>
    </row>
    <row r="36" ht="20.25" customHeight="1" outlineLevel="1">
      <c r="B36" s="266" t="s">
        <v>322</v>
      </c>
      <c r="L36" s="12"/>
    </row>
    <row r="37" outlineLevel="1">
      <c r="B37" s="280"/>
      <c r="C37" s="232"/>
      <c r="L37" s="12"/>
    </row>
    <row r="38" outlineLevel="1" collapsed="1">
      <c r="B38" s="124" t="s">
        <v>323</v>
      </c>
      <c r="C38" s="271" t="s">
        <v>324</v>
      </c>
      <c r="L38" s="12"/>
    </row>
    <row r="39" hidden="1" outlineLevel="2">
      <c r="B39" s="262" t="s">
        <v>325</v>
      </c>
      <c r="L39" s="12"/>
    </row>
    <row r="40" hidden="1" outlineLevel="2">
      <c r="B40" s="280"/>
      <c r="C40" s="232"/>
      <c r="D40" s="232"/>
      <c r="E40" s="232"/>
      <c r="F40" s="232"/>
      <c r="G40" s="232"/>
      <c r="H40" s="232"/>
      <c r="I40" s="232"/>
      <c r="J40" s="232"/>
      <c r="K40" s="232"/>
      <c r="L40" s="281"/>
    </row>
    <row r="41" hidden="1" outlineLevel="2">
      <c r="B41" s="280"/>
      <c r="C41" s="223" t="s">
        <v>326</v>
      </c>
      <c r="F41" s="232"/>
      <c r="H41" s="282"/>
      <c r="I41" s="282" t="s">
        <v>327</v>
      </c>
      <c r="J41" s="232"/>
      <c r="K41" s="232"/>
      <c r="L41" s="281"/>
    </row>
    <row r="42" hidden="1" outlineLevel="2">
      <c r="B42" s="280"/>
      <c r="C42" s="249" t="s">
        <v>328</v>
      </c>
      <c r="D42" s="250"/>
      <c r="E42" s="250"/>
      <c r="F42" s="250"/>
      <c r="G42" s="251"/>
      <c r="H42" s="283"/>
      <c r="I42" s="284" t="s">
        <v>329</v>
      </c>
      <c r="J42" s="232"/>
      <c r="K42" s="232"/>
      <c r="L42" s="281"/>
    </row>
    <row r="43" hidden="1" outlineLevel="2">
      <c r="B43" s="280"/>
      <c r="C43" s="253"/>
      <c r="G43" s="254"/>
      <c r="H43" s="283"/>
      <c r="I43" s="285" t="s">
        <v>330</v>
      </c>
      <c r="J43" s="232"/>
      <c r="K43" s="232"/>
      <c r="L43" s="281"/>
    </row>
    <row r="44" hidden="1" outlineLevel="2">
      <c r="B44" s="280"/>
      <c r="C44" s="253"/>
      <c r="G44" s="254"/>
      <c r="H44" s="283"/>
      <c r="I44" s="286" t="s">
        <v>331</v>
      </c>
      <c r="J44" s="232"/>
      <c r="K44" s="232"/>
      <c r="L44" s="281"/>
    </row>
    <row r="45" ht="64.5" hidden="1" customHeight="1" outlineLevel="2">
      <c r="B45" s="280"/>
      <c r="C45" s="253"/>
      <c r="G45" s="254"/>
      <c r="H45" s="283"/>
      <c r="J45" s="232"/>
      <c r="K45" s="232"/>
      <c r="L45" s="281"/>
    </row>
    <row r="46" ht="64.5" hidden="1" customHeight="1" outlineLevel="2">
      <c r="B46" s="280"/>
      <c r="C46" s="255"/>
      <c r="D46" s="256"/>
      <c r="E46" s="256"/>
      <c r="F46" s="256"/>
      <c r="G46" s="257"/>
      <c r="H46" s="283"/>
      <c r="I46" s="286"/>
      <c r="J46" s="232"/>
      <c r="K46" s="232"/>
      <c r="L46" s="281"/>
    </row>
    <row r="47" hidden="1" outlineLevel="2">
      <c r="B47" s="280"/>
      <c r="C47" s="232"/>
      <c r="D47" s="232"/>
      <c r="E47" s="232"/>
      <c r="F47" s="232"/>
      <c r="G47" s="232"/>
      <c r="H47" s="232"/>
      <c r="I47" s="232"/>
      <c r="J47" s="232"/>
      <c r="K47" s="232"/>
      <c r="L47" s="281"/>
    </row>
    <row r="48" ht="33.75" customHeight="1">
      <c r="B48" s="9"/>
      <c r="C48" s="9"/>
      <c r="D48" s="219"/>
      <c r="E48" s="9"/>
      <c r="F48" s="219"/>
      <c r="G48" s="220"/>
      <c r="H48" s="219"/>
      <c r="I48" s="235"/>
      <c r="J48" s="235"/>
      <c r="K48" s="235"/>
      <c r="L48" s="9"/>
    </row>
    <row r="49" ht="29.25" customHeight="1">
      <c r="B49" s="72" t="s">
        <v>299</v>
      </c>
      <c r="C49" s="73"/>
      <c r="D49" s="73"/>
      <c r="E49" s="73"/>
      <c r="F49" s="219"/>
      <c r="G49" s="220"/>
      <c r="H49" s="219"/>
      <c r="I49" s="74" t="s">
        <v>80</v>
      </c>
      <c r="J49" s="73"/>
      <c r="K49" s="73"/>
      <c r="L49" s="75"/>
    </row>
    <row r="50">
      <c r="B50" s="89" t="s">
        <v>332</v>
      </c>
      <c r="L50" s="12"/>
    </row>
    <row r="51" ht="11.25" customHeight="1">
      <c r="B51" s="22"/>
      <c r="D51" s="34"/>
      <c r="F51" s="34"/>
      <c r="G51" s="97"/>
      <c r="H51" s="34"/>
      <c r="I51" s="71"/>
      <c r="J51" s="71"/>
      <c r="K51" s="71"/>
      <c r="L51" s="24"/>
    </row>
    <row r="52">
      <c r="B52" s="89" t="s">
        <v>333</v>
      </c>
      <c r="L52" s="12"/>
    </row>
    <row r="53" ht="11.25" customHeight="1">
      <c r="B53" s="22"/>
      <c r="D53" s="34"/>
      <c r="F53" s="34"/>
      <c r="G53" s="97"/>
      <c r="H53" s="34"/>
      <c r="I53" s="71"/>
      <c r="J53" s="71"/>
      <c r="K53" s="71"/>
      <c r="L53" s="24"/>
    </row>
    <row r="54">
      <c r="B54" s="89" t="s">
        <v>334</v>
      </c>
      <c r="L54" s="12"/>
    </row>
    <row r="55" ht="8.25" customHeight="1">
      <c r="B55" s="22"/>
      <c r="D55" s="34"/>
      <c r="F55" s="34"/>
      <c r="G55" s="97"/>
      <c r="H55" s="34"/>
      <c r="I55" s="71"/>
      <c r="J55" s="71"/>
      <c r="K55" s="71"/>
      <c r="L55" s="24"/>
    </row>
    <row r="56">
      <c r="A56" s="221"/>
      <c r="B56" s="222"/>
      <c r="C56" s="223" t="s">
        <v>187</v>
      </c>
      <c r="D56" s="224"/>
      <c r="E56" s="223" t="s">
        <v>196</v>
      </c>
      <c r="F56" s="224"/>
      <c r="G56" s="225" t="s">
        <v>189</v>
      </c>
      <c r="H56" s="224"/>
      <c r="I56" s="226" t="s">
        <v>91</v>
      </c>
      <c r="J56" s="226"/>
      <c r="K56" s="226"/>
      <c r="L56" s="227"/>
      <c r="M56" s="221"/>
    </row>
    <row r="57" ht="53.25" customHeight="1">
      <c r="B57" s="25"/>
      <c r="C57" s="241" t="s">
        <v>335</v>
      </c>
      <c r="D57" s="229" t="s">
        <v>191</v>
      </c>
      <c r="E57" s="258" t="s">
        <v>307</v>
      </c>
      <c r="F57" s="231" t="s">
        <v>193</v>
      </c>
      <c r="G57" s="93" t="str">
        <f>substitute($C$57,"{{EMAIL}}",E57)</f>
        <v>User: Please classify this email  into ONE of the categories:
(A) Pre-sale question
(B) Broken or defective item
(C) Billing question
(D) Other (please explain)
Respond ONLY the classification letter wrapped with XML tags:
&lt;answer&lt;B&lt;/answer&gt; 
Do not include explanations or category names.
: Hi -- My Mixmaster4000 is producing a strange noise when I operate it. It also smells a bit smoky and plasticky, like burning electronics.  I need a replacement.</v>
      </c>
      <c r="H57" s="91" t="s">
        <v>93</v>
      </c>
      <c r="I57" s="287" t="str">
        <f>claudeMessages(G57,'Tutorial How-To'!$E$37,"temperature",0)</f>
        <v>&lt;answer&gt;B&lt;/answer&gt;</v>
      </c>
      <c r="J57" s="288"/>
      <c r="K57" s="289"/>
      <c r="L57" s="24"/>
    </row>
    <row r="58" ht="68.25" customHeight="1">
      <c r="B58" s="25"/>
      <c r="C58" s="180"/>
      <c r="D58" s="229"/>
      <c r="E58" s="96"/>
      <c r="G58" s="96"/>
      <c r="I58" s="290"/>
      <c r="J58" s="291"/>
      <c r="K58" s="157"/>
      <c r="L58" s="24"/>
    </row>
    <row r="59" ht="8.25" customHeight="1">
      <c r="B59" s="22"/>
      <c r="C59" s="180"/>
      <c r="D59" s="34"/>
      <c r="F59" s="34"/>
      <c r="G59" s="97"/>
      <c r="H59" s="34"/>
      <c r="I59" s="71"/>
      <c r="J59" s="71"/>
      <c r="K59" s="71"/>
      <c r="L59" s="24"/>
    </row>
    <row r="60" ht="53.25" customHeight="1">
      <c r="B60" s="25"/>
      <c r="C60" s="180"/>
      <c r="D60" s="229" t="s">
        <v>191</v>
      </c>
      <c r="E60" s="258" t="s">
        <v>309</v>
      </c>
      <c r="F60" s="231" t="s">
        <v>193</v>
      </c>
      <c r="G60" s="93" t="str">
        <f>substitute($C$57,"{{EMAIL}}",E60)</f>
        <v>User: Please classify this email  into ONE of the categories:
(A) Pre-sale question
(B) Broken or defective item
(C) Billing question
(D) Other (please explain)
Respond ONLY the classification letter wrapped with XML tags:
&lt;answer&lt;B&lt;/answer&gt; 
Do not include explanations or category names.
: Can I use my Mixmaster 4000 to mix paint, or is it only meant for mixing food?</v>
      </c>
      <c r="H60" s="91" t="s">
        <v>93</v>
      </c>
      <c r="I60" s="287" t="str">
        <f>claudeMessages(G60,'Tutorial How-To'!$E$37,"temperature",0)</f>
        <v>&lt;answer&gt;D&lt;/answer&gt;</v>
      </c>
      <c r="J60" s="288"/>
      <c r="K60" s="289"/>
      <c r="L60" s="24"/>
    </row>
    <row r="61" ht="53.25" customHeight="1">
      <c r="B61" s="25"/>
      <c r="C61" s="180"/>
      <c r="D61" s="229"/>
      <c r="E61" s="96"/>
      <c r="G61" s="96"/>
      <c r="I61" s="290"/>
      <c r="J61" s="291"/>
      <c r="K61" s="157"/>
      <c r="L61" s="24"/>
    </row>
    <row r="62" ht="8.25" customHeight="1">
      <c r="B62" s="22"/>
      <c r="C62" s="180"/>
      <c r="D62" s="34"/>
      <c r="F62" s="34"/>
      <c r="G62" s="97"/>
      <c r="H62" s="34"/>
      <c r="I62" s="71"/>
      <c r="J62" s="71"/>
      <c r="K62" s="71"/>
      <c r="L62" s="24"/>
    </row>
    <row r="63" ht="53.25" customHeight="1">
      <c r="B63" s="25"/>
      <c r="C63" s="180"/>
      <c r="D63" s="229" t="s">
        <v>191</v>
      </c>
      <c r="E63" s="258" t="s">
        <v>311</v>
      </c>
      <c r="F63" s="231" t="s">
        <v>193</v>
      </c>
      <c r="G63" s="93" t="str">
        <f>substitute($C$57,"{{EMAIL}}",E63)</f>
        <v>User: Please classify this email  into ONE of the categories:
(A) Pre-sale question
(B) Broken or defective item
(C) Billing question
(D) Other (please explain)
Respond ONLY the classification letter wrapped with XML tags:
&lt;answer&lt;B&lt;/answer&gt; 
Do not include explanations or category names.
: I HAVE BEEN WAITING 4 MONTHS FOR MY MONTHLY CHARGES TO END AFTER CANCELLING!!  WTF IS GOING ON???</v>
      </c>
      <c r="H63" s="91" t="s">
        <v>93</v>
      </c>
      <c r="I63" s="287" t="str">
        <f>claudeMessages(G63,'Tutorial How-To'!$E$37,"temperature",0)</f>
        <v>&lt;answer&gt;C&lt;/answer&gt;</v>
      </c>
      <c r="J63" s="288"/>
      <c r="K63" s="289"/>
      <c r="L63" s="24"/>
    </row>
    <row r="64" ht="53.25" customHeight="1">
      <c r="B64" s="25"/>
      <c r="C64" s="180"/>
      <c r="D64" s="229"/>
      <c r="E64" s="96"/>
      <c r="G64" s="96"/>
      <c r="I64" s="290"/>
      <c r="J64" s="291"/>
      <c r="K64" s="157"/>
      <c r="L64" s="24"/>
    </row>
    <row r="65" ht="8.25" customHeight="1">
      <c r="B65" s="22"/>
      <c r="C65" s="180"/>
      <c r="D65" s="34"/>
      <c r="F65" s="34"/>
      <c r="G65" s="97"/>
      <c r="H65" s="34"/>
      <c r="I65" s="71"/>
      <c r="J65" s="71"/>
      <c r="K65" s="71"/>
      <c r="L65" s="24"/>
    </row>
    <row r="66" ht="53.25" customHeight="1">
      <c r="B66" s="25"/>
      <c r="C66" s="180"/>
      <c r="D66" s="229" t="s">
        <v>191</v>
      </c>
      <c r="E66" s="258" t="s">
        <v>313</v>
      </c>
      <c r="F66" s="231" t="s">
        <v>193</v>
      </c>
      <c r="G66" s="93" t="str">
        <f>substitute($C$57,"{{EMAIL}}",E66)</f>
        <v>User: Please classify this email  into ONE of the categories:
(A) Pre-sale question
(B) Broken or defective item
(C) Billing question
(D) Other (please explain)
Respond ONLY the classification letter wrapped with XML tags:
&lt;answer&lt;B&lt;/answer&gt; 
Do not include explanations or category names.
: How did I get here I am not good with computer.  Halp.</v>
      </c>
      <c r="H66" s="91" t="s">
        <v>93</v>
      </c>
      <c r="I66" s="287" t="str">
        <f>claudeMessages(G66,'Tutorial How-To'!$E$37,"temperature",0)</f>
        <v>&lt;answer&gt;D&lt;/answer&gt;</v>
      </c>
      <c r="J66" s="288"/>
      <c r="K66" s="289"/>
      <c r="L66" s="24"/>
    </row>
    <row r="67" ht="53.25" customHeight="1">
      <c r="B67" s="25"/>
      <c r="C67" s="181"/>
      <c r="D67" s="229"/>
      <c r="E67" s="96"/>
      <c r="G67" s="96"/>
      <c r="I67" s="290"/>
      <c r="J67" s="291"/>
      <c r="K67" s="157"/>
      <c r="L67" s="24"/>
    </row>
    <row r="68" ht="15.75" customHeight="1">
      <c r="B68" s="25"/>
      <c r="C68" s="232"/>
      <c r="D68" s="91"/>
      <c r="E68" s="233"/>
      <c r="F68" s="34"/>
      <c r="G68" s="233"/>
      <c r="H68" s="34"/>
      <c r="I68" s="233"/>
      <c r="J68" s="233"/>
      <c r="K68" s="233"/>
      <c r="L68" s="24"/>
    </row>
    <row r="69" collapsed="1">
      <c r="B69" s="127" t="s">
        <v>120</v>
      </c>
      <c r="C69" s="128" t="s">
        <v>121</v>
      </c>
      <c r="L69" s="12"/>
    </row>
    <row r="70" hidden="1" outlineLevel="1">
      <c r="B70" s="292" t="s">
        <v>336</v>
      </c>
      <c r="C70" s="49"/>
      <c r="D70" s="49"/>
      <c r="E70" s="49"/>
      <c r="F70" s="49"/>
      <c r="G70" s="49"/>
      <c r="H70" s="49"/>
      <c r="I70" s="49"/>
      <c r="J70" s="49"/>
      <c r="K70" s="49"/>
      <c r="L70" s="50"/>
    </row>
    <row r="71">
      <c r="B71" s="9"/>
      <c r="C71" s="9"/>
      <c r="D71" s="219"/>
      <c r="E71" s="9"/>
      <c r="F71" s="219"/>
      <c r="G71" s="220"/>
      <c r="H71" s="219"/>
      <c r="I71" s="235"/>
      <c r="J71" s="235"/>
      <c r="K71" s="235"/>
      <c r="L71" s="9"/>
    </row>
    <row r="72">
      <c r="B72" s="121" t="s">
        <v>337</v>
      </c>
      <c r="H72" s="293"/>
      <c r="I72" s="42" t="s">
        <v>338</v>
      </c>
    </row>
    <row r="73">
      <c r="G73" s="97"/>
      <c r="H73" s="34"/>
      <c r="I73" s="71"/>
    </row>
    <row r="74">
      <c r="B74" s="123" t="s">
        <v>80</v>
      </c>
    </row>
    <row r="75">
      <c r="B75" s="123" t="s">
        <v>113</v>
      </c>
    </row>
    <row r="76">
      <c r="B76" s="294"/>
      <c r="C76" s="294"/>
      <c r="D76" s="294"/>
      <c r="E76" s="294"/>
      <c r="F76" s="294"/>
      <c r="G76" s="294"/>
      <c r="H76" s="294"/>
      <c r="I76" s="294"/>
      <c r="J76" s="294"/>
      <c r="K76" s="294"/>
      <c r="L76" s="294"/>
    </row>
    <row r="77">
      <c r="B77" s="294"/>
      <c r="C77" s="294"/>
      <c r="D77" s="294"/>
      <c r="E77" s="294"/>
      <c r="F77" s="294"/>
      <c r="G77" s="294"/>
      <c r="H77" s="294"/>
      <c r="I77" s="294"/>
      <c r="J77" s="294"/>
      <c r="K77" s="294"/>
      <c r="L77" s="294"/>
    </row>
    <row r="78">
      <c r="B78" s="294"/>
      <c r="C78" s="294"/>
      <c r="D78" s="294"/>
      <c r="E78" s="294"/>
      <c r="F78" s="294"/>
      <c r="G78" s="294"/>
      <c r="H78" s="294"/>
      <c r="I78" s="294"/>
      <c r="J78" s="294"/>
      <c r="K78" s="294"/>
      <c r="L78" s="294"/>
    </row>
    <row r="79">
      <c r="B79" s="294"/>
      <c r="C79" s="294"/>
      <c r="D79" s="294"/>
      <c r="E79" s="294"/>
      <c r="F79" s="294"/>
      <c r="G79" s="294"/>
      <c r="H79" s="294"/>
      <c r="I79" s="294"/>
      <c r="J79" s="294"/>
      <c r="K79" s="294"/>
      <c r="L79" s="294"/>
    </row>
  </sheetData>
  <mergeCells count="81">
    <mergeCell ref="B1:I1"/>
    <mergeCell ref="B3:C3"/>
    <mergeCell ref="B7:E7"/>
    <mergeCell ref="I7:L7"/>
    <mergeCell ref="B8:L8"/>
    <mergeCell ref="B11:L11"/>
    <mergeCell ref="B13:L13"/>
    <mergeCell ref="E19:E20"/>
    <mergeCell ref="F19:F20"/>
    <mergeCell ref="G19:G20"/>
    <mergeCell ref="H19:H20"/>
    <mergeCell ref="K16:K17"/>
    <mergeCell ref="K19:K20"/>
    <mergeCell ref="K22:K23"/>
    <mergeCell ref="D22:D23"/>
    <mergeCell ref="E22:E23"/>
    <mergeCell ref="F22:F23"/>
    <mergeCell ref="G22:G23"/>
    <mergeCell ref="H22:H23"/>
    <mergeCell ref="I22:I23"/>
    <mergeCell ref="G60:G61"/>
    <mergeCell ref="H60:H61"/>
    <mergeCell ref="E57:E58"/>
    <mergeCell ref="F57:F58"/>
    <mergeCell ref="G57:G58"/>
    <mergeCell ref="H57:H58"/>
    <mergeCell ref="I57:K58"/>
    <mergeCell ref="E60:E61"/>
    <mergeCell ref="F60:F61"/>
    <mergeCell ref="I60:K61"/>
    <mergeCell ref="C16:C26"/>
    <mergeCell ref="E16:E17"/>
    <mergeCell ref="F16:F17"/>
    <mergeCell ref="G16:G17"/>
    <mergeCell ref="H16:H17"/>
    <mergeCell ref="I16:I17"/>
    <mergeCell ref="I19:I20"/>
    <mergeCell ref="D16:D17"/>
    <mergeCell ref="D19:D20"/>
    <mergeCell ref="C57:C67"/>
    <mergeCell ref="E63:E64"/>
    <mergeCell ref="F63:F64"/>
    <mergeCell ref="G63:G64"/>
    <mergeCell ref="H63:H64"/>
    <mergeCell ref="D25:D26"/>
    <mergeCell ref="E25:E26"/>
    <mergeCell ref="F25:F26"/>
    <mergeCell ref="G25:G26"/>
    <mergeCell ref="H25:H26"/>
    <mergeCell ref="I25:I26"/>
    <mergeCell ref="K25:K26"/>
    <mergeCell ref="B28:L28"/>
    <mergeCell ref="C30:L30"/>
    <mergeCell ref="B31:L31"/>
    <mergeCell ref="C32:L32"/>
    <mergeCell ref="C33:L33"/>
    <mergeCell ref="C34:L34"/>
    <mergeCell ref="C35:L35"/>
    <mergeCell ref="B36:L36"/>
    <mergeCell ref="C37:L37"/>
    <mergeCell ref="C38:L38"/>
    <mergeCell ref="B39:L39"/>
    <mergeCell ref="C41:E41"/>
    <mergeCell ref="C42:G46"/>
    <mergeCell ref="B49:E49"/>
    <mergeCell ref="I49:L49"/>
    <mergeCell ref="B50:L50"/>
    <mergeCell ref="B52:L52"/>
    <mergeCell ref="B54:L54"/>
    <mergeCell ref="I63:K64"/>
    <mergeCell ref="E66:E67"/>
    <mergeCell ref="F66:F67"/>
    <mergeCell ref="B74:L74"/>
    <mergeCell ref="B75:L75"/>
    <mergeCell ref="G66:G67"/>
    <mergeCell ref="H66:H67"/>
    <mergeCell ref="I66:K67"/>
    <mergeCell ref="C69:L69"/>
    <mergeCell ref="B70:L70"/>
    <mergeCell ref="B72:E72"/>
    <mergeCell ref="I72:L72"/>
  </mergeCells>
  <conditionalFormatting sqref="I19:I20">
    <cfRule type="containsText" dxfId="0" priority="1" operator="containsText" text="A) P">
      <formula>NOT(ISERROR(SEARCH(("A) P"),(I19))))</formula>
    </cfRule>
  </conditionalFormatting>
  <conditionalFormatting sqref="I22:I23">
    <cfRule type="containsText" dxfId="0" priority="2" operator="containsText" text="C) B">
      <formula>NOT(ISERROR(SEARCH(("C) B"),(I22))))</formula>
    </cfRule>
  </conditionalFormatting>
  <conditionalFormatting sqref="I59:I61">
    <cfRule type="containsText" dxfId="0" priority="3" operator="containsText" text="&lt;answer&gt;A&lt;/answer&gt;">
      <formula>NOT(ISERROR(SEARCH(("&lt;answer&gt;A&lt;/answer&gt;"),(I59))))</formula>
    </cfRule>
  </conditionalFormatting>
  <conditionalFormatting sqref="I62:I64">
    <cfRule type="containsText" dxfId="0" priority="4" operator="containsText" text="&lt;answer&gt;C&lt;/answer&gt;">
      <formula>NOT(ISERROR(SEARCH(("&lt;answer&gt;C&lt;/answer&gt;"),(I62))))</formula>
    </cfRule>
  </conditionalFormatting>
  <conditionalFormatting sqref="I25:I26">
    <cfRule type="containsText" dxfId="0" priority="5" operator="containsText" text="D) O">
      <formula>NOT(ISERROR(SEARCH(("D) O"),(I25))))</formula>
    </cfRule>
  </conditionalFormatting>
  <conditionalFormatting sqref="I66:K67">
    <cfRule type="containsText" dxfId="0" priority="6" operator="containsText" text="&lt;answer&gt;D&lt;/answer&gt;">
      <formula>NOT(ISERROR(SEARCH(("&lt;answer&gt;D&lt;/answer&gt;"),(I66))))</formula>
    </cfRule>
  </conditionalFormatting>
  <conditionalFormatting sqref="I57:K58">
    <cfRule type="containsText" dxfId="0" priority="7" operator="containsText" text="&lt;answer&gt;B&lt;/answer&gt;">
      <formula>NOT(ISERROR(SEARCH(("&lt;answer&gt;B&lt;/answer&gt;"),(I57))))</formula>
    </cfRule>
  </conditionalFormatting>
  <conditionalFormatting sqref="I16:I17">
    <cfRule type="containsText" dxfId="0" priority="8" operator="containsText" text="B) B">
      <formula>NOT(ISERROR(SEARCH(("B) B"),(I16))))</formula>
    </cfRule>
  </conditionalFormatting>
  <conditionalFormatting sqref="I19:I20">
    <cfRule type="containsText" dxfId="0" priority="9" operator="containsText" text="D) O">
      <formula>NOT(ISERROR(SEARCH(("D) O"),(I19))))</formula>
    </cfRule>
  </conditionalFormatting>
  <conditionalFormatting sqref="I60:K61">
    <cfRule type="containsText" dxfId="0" priority="10" operator="containsText" text="&lt;answer&gt;D&lt;/answer&gt;">
      <formula>NOT(ISERROR(SEARCH(("&lt;answer&gt;D&lt;/answer&gt;"),(I60))))</formula>
    </cfRule>
  </conditionalFormatting>
  <hyperlinks>
    <hyperlink display="Exercise 6.1 - Classifying Emails" location="C6Exercise1" ref="C4"/>
    <hyperlink display="Exercise 6.2 - Email Classification Formatting" location="C6Exercise2" ref="C5"/>
    <hyperlink display="Back to top ↑" location="C6ExerciseTitle" ref="I7"/>
    <hyperlink display="Back to top ↑" location="C6ExerciseTitle" ref="I49"/>
    <hyperlink display="← Chapter 6: Precognition (Thinking Step by Step)" location="C6LessonTitle" ref="B72"/>
    <hyperlink display="Chapter 7: Using Examples (Few-Shot Prompting) →" location="C7LessonTitle" ref="I72"/>
    <hyperlink display="Back to top ↑" location="C6ExerciseTitle" ref="B74"/>
    <hyperlink display="Table of Contents" location="IntroTitle" ref="B75"/>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63.25"/>
    <col customWidth="1" min="4" max="4" width="4.0"/>
    <col customWidth="1" min="5" max="5" width="55.75"/>
    <col customWidth="1" min="6" max="6" width="3.0"/>
    <col customWidth="1" min="7" max="7" width="5.5"/>
  </cols>
  <sheetData>
    <row r="1" ht="32.25" customHeight="1">
      <c r="A1" s="1"/>
      <c r="B1" s="2" t="s">
        <v>339</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185" t="s">
        <v>340</v>
      </c>
      <c r="C9" s="49"/>
      <c r="D9" s="49"/>
      <c r="E9" s="49"/>
      <c r="F9" s="50"/>
    </row>
    <row r="10" ht="33.75" customHeight="1"/>
    <row r="11" ht="29.25" customHeight="1">
      <c r="B11" s="72" t="s">
        <v>77</v>
      </c>
      <c r="C11" s="73"/>
      <c r="D11" s="73"/>
      <c r="E11" s="74" t="s">
        <v>80</v>
      </c>
      <c r="F11" s="75"/>
    </row>
    <row r="12">
      <c r="B12" s="89" t="s">
        <v>341</v>
      </c>
      <c r="F12" s="12"/>
    </row>
    <row r="13" ht="8.25" customHeight="1">
      <c r="B13" s="22"/>
      <c r="F13" s="24"/>
    </row>
    <row r="14">
      <c r="B14" s="25"/>
      <c r="C14" s="26" t="s">
        <v>90</v>
      </c>
      <c r="E14" s="26" t="s">
        <v>91</v>
      </c>
      <c r="F14" s="24"/>
    </row>
    <row r="15" ht="65.25" customHeight="1">
      <c r="B15" s="25"/>
      <c r="C15" s="105" t="s">
        <v>342</v>
      </c>
      <c r="D15" s="91" t="s">
        <v>93</v>
      </c>
      <c r="E15" s="105" t="str">
        <f>claudeMessages(C15, 'Tutorial How-To'!$E$37,"temperature",0)</f>
        <v>I don't actually have any information about whether Santa will bring you presents on Christmas. Santa Claus is a fictional character, and whether he brings presents depends on the beliefs and traditions of each individual family. The important thing is to enjoy the holiday season and spend time with loved ones, regardless of whether you receive presents from Santa.</v>
      </c>
      <c r="F15" s="24"/>
    </row>
    <row r="16" ht="22.5" customHeight="1">
      <c r="B16" s="25"/>
      <c r="F16" s="24"/>
    </row>
    <row r="17">
      <c r="B17" s="104" t="s">
        <v>343</v>
      </c>
      <c r="F17" s="12"/>
    </row>
    <row r="18" ht="8.25" customHeight="1">
      <c r="B18" s="25"/>
      <c r="F18" s="24"/>
    </row>
    <row r="19">
      <c r="B19" s="25"/>
      <c r="C19" s="26" t="s">
        <v>90</v>
      </c>
      <c r="E19" s="26" t="s">
        <v>91</v>
      </c>
      <c r="F19" s="24"/>
    </row>
    <row r="20" ht="60.75" customHeight="1">
      <c r="A20" s="97"/>
      <c r="B20" s="98"/>
      <c r="C20" s="93" t="s">
        <v>344</v>
      </c>
      <c r="D20" s="100" t="s">
        <v>93</v>
      </c>
      <c r="E20" s="295" t="str">
        <f>claudeMessages(C20, 'Tutorial How-To'!$E$37,"temperature",0)</f>
        <v>A: Yes, my dear, as long as you've been good this year, Santa will be sure to bring you presents on Christmas! Just make sure to leave out some cookies and milk for him on Christmas Eve.</v>
      </c>
      <c r="F20" s="102"/>
      <c r="G20" s="97"/>
    </row>
    <row r="21" ht="60.75" customHeight="1">
      <c r="A21" s="97"/>
      <c r="B21" s="98"/>
      <c r="C21" s="96"/>
      <c r="E21" s="296"/>
      <c r="F21" s="102"/>
      <c r="G21" s="97"/>
    </row>
    <row r="22" ht="22.5" customHeight="1">
      <c r="B22" s="25"/>
      <c r="F22" s="24"/>
    </row>
    <row r="23">
      <c r="B23" s="89" t="s">
        <v>345</v>
      </c>
      <c r="F23" s="12"/>
    </row>
    <row r="24" ht="8.25" customHeight="1">
      <c r="B24" s="25"/>
      <c r="F24" s="24"/>
    </row>
    <row r="25">
      <c r="B25" s="25"/>
      <c r="C25" s="26" t="s">
        <v>90</v>
      </c>
      <c r="E25" s="26" t="s">
        <v>91</v>
      </c>
      <c r="F25" s="24"/>
    </row>
    <row r="26" ht="63.75" customHeight="1">
      <c r="B26" s="25"/>
      <c r="C26" s="297" t="s">
        <v>346</v>
      </c>
      <c r="D26" s="100" t="s">
        <v>93</v>
      </c>
      <c r="E26" s="295" t="str">
        <f>claudeMessages(C26, 'Tutorial How-To'!$E$37,"temperature",0)</f>
        <v>1. Laura Simmons [ORGANIC FARMER]
2. Kevin Alvarez [DANCE INSTRUCTOR]
3. Rachel O'Connor [VOLUNTEER]
&lt;/individuals&gt;</v>
      </c>
      <c r="F26" s="24"/>
    </row>
    <row r="27" ht="63.75" customHeight="1">
      <c r="B27" s="25"/>
      <c r="C27" s="95"/>
      <c r="E27" s="298"/>
      <c r="F27" s="24"/>
    </row>
    <row r="28" ht="63.75" customHeight="1">
      <c r="B28" s="25"/>
      <c r="C28" s="95"/>
      <c r="E28" s="298"/>
      <c r="F28" s="24"/>
    </row>
    <row r="29" ht="63.75" customHeight="1">
      <c r="B29" s="25"/>
      <c r="C29" s="96"/>
      <c r="E29" s="296"/>
      <c r="F29" s="24"/>
    </row>
    <row r="30" ht="15.0" customHeight="1">
      <c r="B30" s="25"/>
      <c r="F30" s="24"/>
    </row>
    <row r="31">
      <c r="B31" s="118" t="s">
        <v>347</v>
      </c>
      <c r="C31" s="49"/>
      <c r="D31" s="49"/>
      <c r="E31" s="49"/>
      <c r="F31" s="50"/>
    </row>
    <row r="32" ht="15.75" customHeight="1"/>
    <row r="33" ht="15.75" customHeight="1">
      <c r="E33" s="42" t="s">
        <v>348</v>
      </c>
    </row>
    <row r="34" ht="33.75" customHeight="1"/>
    <row r="35" ht="29.25" customHeight="1">
      <c r="B35" s="72" t="s">
        <v>79</v>
      </c>
      <c r="C35" s="73"/>
      <c r="D35" s="73"/>
      <c r="E35" s="74" t="s">
        <v>80</v>
      </c>
      <c r="F35" s="75"/>
    </row>
    <row r="36">
      <c r="B36" s="89" t="s">
        <v>349</v>
      </c>
      <c r="F36" s="12"/>
    </row>
    <row r="37" ht="8.25" customHeight="1">
      <c r="B37" s="22"/>
      <c r="F37" s="24"/>
    </row>
    <row r="38" ht="15.75" customHeight="1">
      <c r="B38" s="25"/>
      <c r="C38" s="26" t="s">
        <v>90</v>
      </c>
      <c r="E38" s="26" t="s">
        <v>91</v>
      </c>
      <c r="F38" s="24"/>
    </row>
    <row r="39" ht="65.25" customHeight="1">
      <c r="B39" s="25"/>
      <c r="C39" s="105" t="s">
        <v>342</v>
      </c>
      <c r="D39" s="91" t="s">
        <v>93</v>
      </c>
      <c r="E39" s="105" t="str">
        <f>claudeMessages(C39, 'Tutorial How-To'!$E$37,"temperature",0)</f>
        <v>I don't actually have any information about whether Santa will bring you presents on Christmas. Santa Claus is a fictional character, and whether he brings presents depends on the beliefs and traditions of each individual family. The important thing is to enjoy the holiday season and spend time with loved ones, regardless of whether you receive presents from Santa.</v>
      </c>
      <c r="F39" s="24"/>
    </row>
    <row r="40" ht="8.25" customHeight="1">
      <c r="B40" s="25"/>
      <c r="F40" s="12"/>
    </row>
    <row r="41" ht="60.75" customHeight="1">
      <c r="A41" s="97"/>
      <c r="B41" s="98"/>
      <c r="C41" s="93" t="s">
        <v>344</v>
      </c>
      <c r="D41" s="100" t="s">
        <v>93</v>
      </c>
      <c r="E41" s="295" t="str">
        <f>claudeMessages(C41, 'Tutorial How-To'!$E$37,"temperature",0)</f>
        <v>A: Yes, my dear, as long as you've been good this year, Santa will be sure to bring you presents on Christmas! Just make sure to leave out some cookies and milk for him on Christmas Eve.</v>
      </c>
      <c r="F41" s="102"/>
      <c r="G41" s="97"/>
    </row>
    <row r="42" ht="60.75" customHeight="1">
      <c r="A42" s="97"/>
      <c r="B42" s="98"/>
      <c r="C42" s="96"/>
      <c r="E42" s="296"/>
      <c r="F42" s="102"/>
      <c r="G42" s="97"/>
    </row>
    <row r="43" ht="8.25" customHeight="1">
      <c r="B43" s="25"/>
      <c r="F43" s="24"/>
    </row>
    <row r="44" ht="63.75" customHeight="1">
      <c r="B44" s="25"/>
      <c r="C44" s="93" t="s">
        <v>350</v>
      </c>
      <c r="D44" s="100" t="s">
        <v>93</v>
      </c>
      <c r="E44" s="295" t="str">
        <f>claudeMessages(C44, 'Tutorial How-To'!$E$37,"temperature",0)</f>
        <v>1. Laura Simmons [ORGANIC FARMER]
2. Kevin Alvarez [DANCE INSTRUCTOR]
3. Rachel O'Connor [VOLUNTEER]
&lt;/individuals&gt;</v>
      </c>
      <c r="F44" s="24"/>
    </row>
    <row r="45" ht="63.75" customHeight="1">
      <c r="B45" s="25"/>
      <c r="C45" s="95"/>
      <c r="E45" s="298"/>
      <c r="F45" s="24"/>
    </row>
    <row r="46" ht="63.75" customHeight="1">
      <c r="B46" s="25"/>
      <c r="C46" s="95"/>
      <c r="E46" s="298"/>
      <c r="F46" s="24"/>
    </row>
    <row r="47" ht="63.75" customHeight="1">
      <c r="B47" s="25"/>
      <c r="C47" s="96"/>
      <c r="E47" s="296"/>
      <c r="F47" s="24"/>
    </row>
    <row r="48" ht="15.75" customHeight="1">
      <c r="B48" s="120"/>
      <c r="C48" s="65"/>
      <c r="D48" s="65"/>
      <c r="E48" s="65"/>
      <c r="F48" s="66"/>
    </row>
    <row r="49" ht="8.25" customHeight="1"/>
    <row r="50">
      <c r="B50" s="121" t="s">
        <v>351</v>
      </c>
      <c r="E50" s="42" t="s">
        <v>348</v>
      </c>
    </row>
    <row r="51" ht="8.25" customHeight="1"/>
    <row r="52">
      <c r="B52" s="123" t="s">
        <v>80</v>
      </c>
    </row>
    <row r="53">
      <c r="B53" s="123" t="s">
        <v>113</v>
      </c>
    </row>
  </sheetData>
  <mergeCells count="32">
    <mergeCell ref="B1:E1"/>
    <mergeCell ref="B3:C3"/>
    <mergeCell ref="B8:D8"/>
    <mergeCell ref="E8:F8"/>
    <mergeCell ref="B9:F9"/>
    <mergeCell ref="B11:D11"/>
    <mergeCell ref="E11:F11"/>
    <mergeCell ref="D26:D29"/>
    <mergeCell ref="E26:E29"/>
    <mergeCell ref="B12:F12"/>
    <mergeCell ref="B17:F17"/>
    <mergeCell ref="C20:C21"/>
    <mergeCell ref="D20:D21"/>
    <mergeCell ref="E20:E21"/>
    <mergeCell ref="B23:F23"/>
    <mergeCell ref="C26:C29"/>
    <mergeCell ref="B31:F31"/>
    <mergeCell ref="E33:F33"/>
    <mergeCell ref="B35:D35"/>
    <mergeCell ref="E35:F35"/>
    <mergeCell ref="B36:F36"/>
    <mergeCell ref="B40:F40"/>
    <mergeCell ref="C41:C42"/>
    <mergeCell ref="B52:F52"/>
    <mergeCell ref="B53:F53"/>
    <mergeCell ref="D41:D42"/>
    <mergeCell ref="E41:E42"/>
    <mergeCell ref="C44:C47"/>
    <mergeCell ref="D44:D47"/>
    <mergeCell ref="E44:E47"/>
    <mergeCell ref="B50:D50"/>
    <mergeCell ref="E50:F50"/>
  </mergeCells>
  <hyperlinks>
    <hyperlink display="Lesson" location="C7Lesson" ref="C4"/>
    <hyperlink display="Examples" location="C7Examples" ref="C5"/>
    <hyperlink display="Example Playground" location="C7ExamplePlayground" ref="C6"/>
    <hyperlink display="Back to top ↑" location="C7LessonTitle" ref="E8"/>
    <hyperlink display="Back to top ↑" location="C7LessonTitle" ref="E11"/>
    <hyperlink display="Chapter 7 Exercises: Using Examples →" location="C7ExerciseTitle" ref="E33"/>
    <hyperlink display="Back to top ↑" location="C7LessonTitle" ref="E35"/>
    <hyperlink display="← Chapter 6 Exercises: Precognition (Thinking Step by Step)" location="C6ExerciseTitle" ref="B50"/>
    <hyperlink display="Chapter 7 Exercises: Using Examples →" location="C7ExerciseTitle" ref="E50"/>
    <hyperlink display="Back to top ↑" location="C7LessonTitle" ref="B52"/>
    <hyperlink display="Table of Contents" location="IntroTitle" ref="B53"/>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2"/>
  <cols>
    <col customWidth="1" min="1" max="1" width="5.5"/>
    <col customWidth="1" min="2" max="2" width="3.0"/>
    <col customWidth="1" min="3" max="3" width="38.88"/>
    <col customWidth="1" min="4" max="4" width="4.0"/>
    <col customWidth="1" min="5" max="5" width="24.25"/>
    <col customWidth="1" min="6" max="6" width="4.0"/>
    <col customWidth="1" min="7" max="7" width="33.13"/>
    <col customWidth="1" min="8" max="8" width="4.0"/>
    <col customWidth="1" min="9" max="9" width="27.88"/>
    <col customWidth="1" min="10" max="10" width="4.0"/>
    <col customWidth="1" min="11" max="11" width="19.38"/>
    <col customWidth="1" min="12" max="12" width="3.0"/>
    <col customWidth="1" min="13" max="13" width="5.5"/>
  </cols>
  <sheetData>
    <row r="1" ht="32.25" customHeight="1">
      <c r="A1" s="1"/>
      <c r="B1" s="2" t="s">
        <v>352</v>
      </c>
      <c r="J1" s="2"/>
      <c r="K1" s="2"/>
      <c r="L1" s="3"/>
      <c r="M1" s="3"/>
    </row>
    <row r="2" ht="21.75" customHeight="1">
      <c r="D2" s="34"/>
      <c r="F2" s="34"/>
      <c r="G2" s="97"/>
      <c r="H2" s="34"/>
      <c r="I2" s="71"/>
      <c r="J2" s="71"/>
      <c r="K2" s="71"/>
    </row>
    <row r="3" ht="21.75" customHeight="1">
      <c r="A3" s="23"/>
      <c r="B3" s="69" t="s">
        <v>76</v>
      </c>
      <c r="D3" s="34"/>
      <c r="F3" s="34"/>
      <c r="G3" s="23"/>
      <c r="H3" s="217"/>
    </row>
    <row r="4" ht="15.75" customHeight="1">
      <c r="A4" s="23"/>
      <c r="C4" s="70" t="s">
        <v>353</v>
      </c>
      <c r="D4" s="34"/>
      <c r="F4" s="34"/>
      <c r="G4" s="23"/>
      <c r="H4" s="34"/>
      <c r="I4" s="218"/>
      <c r="J4" s="218"/>
      <c r="K4" s="218"/>
    </row>
    <row r="5" ht="33.75" customHeight="1">
      <c r="D5" s="34"/>
      <c r="F5" s="34"/>
      <c r="H5" s="34"/>
    </row>
    <row r="6" ht="29.25" customHeight="1">
      <c r="B6" s="72" t="s">
        <v>353</v>
      </c>
      <c r="C6" s="73"/>
      <c r="D6" s="73"/>
      <c r="E6" s="73"/>
      <c r="F6" s="219"/>
      <c r="G6" s="220"/>
      <c r="H6" s="219"/>
      <c r="I6" s="74" t="s">
        <v>80</v>
      </c>
      <c r="J6" s="73"/>
      <c r="K6" s="73"/>
      <c r="L6" s="75"/>
    </row>
    <row r="7">
      <c r="B7" s="89" t="s">
        <v>354</v>
      </c>
      <c r="L7" s="12"/>
    </row>
    <row r="8" ht="11.25" customHeight="1">
      <c r="B8" s="13"/>
      <c r="C8" s="14"/>
      <c r="D8" s="14"/>
      <c r="E8" s="14"/>
      <c r="F8" s="14"/>
      <c r="G8" s="14"/>
      <c r="H8" s="14"/>
      <c r="I8" s="14"/>
      <c r="J8" s="14"/>
      <c r="K8" s="14"/>
      <c r="L8" s="17"/>
    </row>
    <row r="9">
      <c r="B9" s="89" t="s">
        <v>355</v>
      </c>
      <c r="L9" s="12"/>
    </row>
    <row r="10">
      <c r="B10" s="89"/>
      <c r="C10" s="271" t="s">
        <v>301</v>
      </c>
      <c r="D10" s="272"/>
      <c r="E10" s="272"/>
      <c r="F10" s="272"/>
      <c r="G10" s="272"/>
      <c r="H10" s="272"/>
      <c r="I10" s="272"/>
      <c r="J10" s="272"/>
      <c r="K10" s="272"/>
      <c r="L10" s="273"/>
    </row>
    <row r="11" ht="8.25" customHeight="1">
      <c r="B11" s="22"/>
      <c r="D11" s="34"/>
      <c r="F11" s="34"/>
      <c r="G11" s="97"/>
      <c r="H11" s="34"/>
      <c r="I11" s="71"/>
      <c r="J11" s="71"/>
      <c r="K11" s="71"/>
      <c r="L11" s="24"/>
    </row>
    <row r="12">
      <c r="A12" s="221"/>
      <c r="B12" s="222"/>
      <c r="C12" s="223"/>
      <c r="D12" s="224"/>
      <c r="E12" s="223" t="s">
        <v>196</v>
      </c>
      <c r="F12" s="224"/>
      <c r="G12" s="225" t="s">
        <v>189</v>
      </c>
      <c r="H12" s="224"/>
      <c r="I12" s="226" t="s">
        <v>91</v>
      </c>
      <c r="J12" s="226"/>
      <c r="K12" s="226" t="s">
        <v>356</v>
      </c>
      <c r="L12" s="227"/>
      <c r="M12" s="221"/>
    </row>
    <row r="13" ht="57.75" customHeight="1">
      <c r="B13" s="25"/>
      <c r="C13" s="241" t="s">
        <v>357</v>
      </c>
      <c r="D13" s="229" t="s">
        <v>191</v>
      </c>
      <c r="E13" s="258" t="s">
        <v>307</v>
      </c>
      <c r="F13" s="231" t="s">
        <v>193</v>
      </c>
      <c r="G13" s="93" t="str">
        <f>substitute($C$13,"{{EMAIL}}",E13)</f>
        <v>User: You are an email classification assistant.
Classify the email into ONE of the following categories.
Do NOT include explanations.
Output ONLY the category letter.
&lt;categories&gt;
(A) Pre-sale question
(B) Broken or defective item
(C) Billing question
(D) Other
&lt;/categories&gt;
Here are examples of correct formatting:
&lt;examples&gt;
Email:
How much does the Mixmaster4000 cost?
Answer:
A
Email:
My Mixmaster won’t turn on.
Answer:
B
Email:
Please remove me from your mailing list.
Answer:
D
&lt;/examples&gt;
Now classify the following email:
Email:
Hi -- My Mixmaster4000 is producing a strange noise when I operate it. It also smells a bit smoky and plasticky, like burning electronics.  I need a replacement.
Answer:
</v>
      </c>
      <c r="H13" s="91" t="s">
        <v>93</v>
      </c>
      <c r="I13" s="99" t="str">
        <f>claudeMessages(G13,'Tutorial How-To'!$E$37,"temperature",0)</f>
        <v>B</v>
      </c>
      <c r="J13" s="233"/>
      <c r="K13" s="276" t="str">
        <f>RIGHT(I13, 1)</f>
        <v>B</v>
      </c>
      <c r="L13" s="24"/>
    </row>
    <row r="14" ht="57.75" customHeight="1">
      <c r="B14" s="25"/>
      <c r="C14" s="180"/>
      <c r="E14" s="96"/>
      <c r="G14" s="96"/>
      <c r="I14" s="96"/>
      <c r="J14" s="233"/>
      <c r="L14" s="24"/>
    </row>
    <row r="15" ht="8.25" customHeight="1">
      <c r="B15" s="22"/>
      <c r="C15" s="180"/>
      <c r="D15" s="34"/>
      <c r="F15" s="34"/>
      <c r="G15" s="97"/>
      <c r="H15" s="34"/>
      <c r="I15" s="71"/>
      <c r="J15" s="71"/>
      <c r="K15" s="71"/>
      <c r="L15" s="24"/>
    </row>
    <row r="16" ht="57.75" customHeight="1">
      <c r="B16" s="25"/>
      <c r="C16" s="180"/>
      <c r="D16" s="229" t="s">
        <v>191</v>
      </c>
      <c r="E16" s="258" t="s">
        <v>309</v>
      </c>
      <c r="F16" s="231" t="s">
        <v>193</v>
      </c>
      <c r="G16" s="93" t="str">
        <f>substitute($C$13,"{{EMAIL}}",E16)</f>
        <v>User: You are an email classification assistant.
Classify the email into ONE of the following categories.
Do NOT include explanations.
Output ONLY the category letter.
&lt;categories&gt;
(A) Pre-sale question
(B) Broken or defective item
(C) Billing question
(D) Other
&lt;/categories&gt;
Here are examples of correct formatting:
&lt;examples&gt;
Email:
How much does the Mixmaster4000 cost?
Answer:
A
Email:
My Mixmaster won’t turn on.
Answer:
B
Email:
Please remove me from your mailing list.
Answer:
D
&lt;/examples&gt;
Now classify the following email:
Email:
Can I use my Mixmaster 4000 to mix paint, or is it only meant for mixing food?
Answer:
</v>
      </c>
      <c r="H16" s="91" t="s">
        <v>93</v>
      </c>
      <c r="I16" s="99" t="str">
        <f>claudeMessages(G16,'Tutorial How-To'!$E$37,"temperature",0)</f>
        <v>A</v>
      </c>
      <c r="J16" s="233"/>
      <c r="K16" s="276" t="str">
        <f>RIGHT(I16, 1)</f>
        <v>A</v>
      </c>
      <c r="L16" s="24"/>
    </row>
    <row r="17" ht="57.75" customHeight="1">
      <c r="B17" s="25"/>
      <c r="C17" s="180"/>
      <c r="E17" s="96"/>
      <c r="G17" s="96"/>
      <c r="I17" s="96"/>
      <c r="J17" s="233"/>
      <c r="L17" s="24"/>
    </row>
    <row r="18" ht="8.25" customHeight="1">
      <c r="B18" s="22"/>
      <c r="C18" s="180"/>
      <c r="D18" s="34"/>
      <c r="F18" s="34"/>
      <c r="G18" s="97"/>
      <c r="H18" s="34"/>
      <c r="I18" s="71"/>
      <c r="J18" s="71"/>
      <c r="K18" s="71"/>
      <c r="L18" s="24"/>
    </row>
    <row r="19" ht="57.75" customHeight="1">
      <c r="B19" s="25"/>
      <c r="C19" s="180"/>
      <c r="D19" s="229" t="s">
        <v>191</v>
      </c>
      <c r="E19" s="258" t="s">
        <v>311</v>
      </c>
      <c r="F19" s="231" t="s">
        <v>193</v>
      </c>
      <c r="G19" s="93" t="str">
        <f>substitute($C$13,"{{EMAIL}}",E19)</f>
        <v>User: You are an email classification assistant.
Classify the email into ONE of the following categories.
Do NOT include explanations.
Output ONLY the category letter.
&lt;categories&gt;
(A) Pre-sale question
(B) Broken or defective item
(C) Billing question
(D) Other
&lt;/categories&gt;
Here are examples of correct formatting:
&lt;examples&gt;
Email:
How much does the Mixmaster4000 cost?
Answer:
A
Email:
My Mixmaster won’t turn on.
Answer:
B
Email:
Please remove me from your mailing list.
Answer:
D
&lt;/examples&gt;
Now classify the following email:
Email:
I HAVE BEEN WAITING 4 MONTHS FOR MY MONTHLY CHARGES TO END AFTER CANCELLING!!  WTF IS GOING ON???
Answer:
</v>
      </c>
      <c r="H19" s="91" t="s">
        <v>93</v>
      </c>
      <c r="I19" s="99" t="str">
        <f>claudeMessages(G19,'Tutorial How-To'!$E$37,"temperature",0)</f>
        <v>C</v>
      </c>
      <c r="J19" s="233"/>
      <c r="K19" s="276" t="str">
        <f>RIGHT(I19, 1)</f>
        <v>C</v>
      </c>
      <c r="L19" s="24"/>
    </row>
    <row r="20" ht="57.75" customHeight="1">
      <c r="B20" s="25"/>
      <c r="C20" s="180"/>
      <c r="E20" s="96"/>
      <c r="G20" s="96"/>
      <c r="I20" s="96"/>
      <c r="J20" s="233"/>
      <c r="L20" s="24"/>
    </row>
    <row r="21" ht="8.25" customHeight="1">
      <c r="B21" s="22"/>
      <c r="C21" s="180"/>
      <c r="D21" s="34"/>
      <c r="F21" s="34"/>
      <c r="G21" s="97"/>
      <c r="H21" s="34"/>
      <c r="I21" s="71"/>
      <c r="J21" s="71"/>
      <c r="K21" s="71"/>
      <c r="L21" s="24"/>
    </row>
    <row r="22" ht="57.75" customHeight="1">
      <c r="B22" s="25"/>
      <c r="C22" s="180"/>
      <c r="D22" s="229" t="s">
        <v>191</v>
      </c>
      <c r="E22" s="258" t="s">
        <v>313</v>
      </c>
      <c r="F22" s="231" t="s">
        <v>193</v>
      </c>
      <c r="G22" s="93" t="str">
        <f>substitute($C$13,"{{EMAIL}}",E22)</f>
        <v>User: You are an email classification assistant.
Classify the email into ONE of the following categories.
Do NOT include explanations.
Output ONLY the category letter.
&lt;categories&gt;
(A) Pre-sale question
(B) Broken or defective item
(C) Billing question
(D) Other
&lt;/categories&gt;
Here are examples of correct formatting:
&lt;examples&gt;
Email:
How much does the Mixmaster4000 cost?
Answer:
A
Email:
My Mixmaster won’t turn on.
Answer:
B
Email:
Please remove me from your mailing list.
Answer:
D
&lt;/examples&gt;
Now classify the following email:
Email:
How did I get here I am not good with computer.  Halp.
Answer:
</v>
      </c>
      <c r="H22" s="91" t="s">
        <v>93</v>
      </c>
      <c r="I22" s="99" t="str">
        <f>claudeMessages(G22,'Tutorial How-To'!$E$37,"temperature",0)</f>
        <v>D</v>
      </c>
      <c r="J22" s="233"/>
      <c r="K22" s="276" t="str">
        <f>RIGHT(I22, 1)</f>
        <v>D</v>
      </c>
      <c r="L22" s="24"/>
    </row>
    <row r="23" ht="57.75" customHeight="1">
      <c r="B23" s="25"/>
      <c r="C23" s="181"/>
      <c r="E23" s="96"/>
      <c r="G23" s="96"/>
      <c r="I23" s="96"/>
      <c r="J23" s="233"/>
      <c r="L23" s="24"/>
    </row>
    <row r="24" ht="15.75" customHeight="1">
      <c r="B24" s="25"/>
      <c r="C24" s="232"/>
      <c r="D24" s="91"/>
      <c r="E24" s="233"/>
      <c r="F24" s="34"/>
      <c r="G24" s="233"/>
      <c r="H24" s="34"/>
      <c r="I24" s="233"/>
      <c r="J24" s="233"/>
      <c r="K24" s="233"/>
      <c r="L24" s="24"/>
    </row>
    <row r="25">
      <c r="B25" s="127" t="s">
        <v>120</v>
      </c>
      <c r="C25" s="128" t="s">
        <v>121</v>
      </c>
      <c r="L25" s="12"/>
    </row>
    <row r="26" ht="19.5" customHeight="1" outlineLevel="1">
      <c r="B26" s="262" t="s">
        <v>358</v>
      </c>
      <c r="L26" s="12"/>
    </row>
    <row r="27" ht="45.75" customHeight="1" outlineLevel="1">
      <c r="B27" s="263" t="s">
        <v>272</v>
      </c>
      <c r="C27" s="264" t="s">
        <v>359</v>
      </c>
      <c r="L27" s="12"/>
    </row>
    <row r="28" ht="34.5" customHeight="1" outlineLevel="1">
      <c r="B28" s="263" t="s">
        <v>274</v>
      </c>
      <c r="C28" s="264" t="s">
        <v>360</v>
      </c>
      <c r="L28" s="12"/>
    </row>
    <row r="29" ht="21.0" customHeight="1" outlineLevel="1">
      <c r="B29" s="263" t="s">
        <v>276</v>
      </c>
      <c r="C29" s="264" t="s">
        <v>361</v>
      </c>
      <c r="L29" s="12"/>
    </row>
    <row r="30" ht="34.5" customHeight="1" outlineLevel="1">
      <c r="B30" s="266" t="s">
        <v>362</v>
      </c>
      <c r="L30" s="12"/>
    </row>
    <row r="31" outlineLevel="1">
      <c r="B31" s="280"/>
      <c r="C31" s="232"/>
      <c r="L31" s="12"/>
    </row>
    <row r="32" outlineLevel="1" collapsed="1">
      <c r="B32" s="124" t="s">
        <v>323</v>
      </c>
      <c r="C32" s="271" t="s">
        <v>324</v>
      </c>
      <c r="L32" s="12"/>
    </row>
    <row r="33" hidden="1" outlineLevel="2">
      <c r="B33" s="262" t="s">
        <v>363</v>
      </c>
      <c r="L33" s="12"/>
    </row>
    <row r="34" hidden="1" outlineLevel="2">
      <c r="B34" s="280"/>
      <c r="C34" s="232"/>
      <c r="D34" s="232"/>
      <c r="E34" s="232"/>
      <c r="F34" s="232"/>
      <c r="G34" s="232"/>
      <c r="H34" s="232"/>
      <c r="I34" s="232"/>
      <c r="J34" s="232"/>
      <c r="K34" s="232"/>
      <c r="L34" s="281"/>
    </row>
    <row r="35" hidden="1" outlineLevel="2">
      <c r="B35" s="280"/>
      <c r="C35" s="223" t="s">
        <v>326</v>
      </c>
      <c r="F35" s="232"/>
      <c r="H35" s="282"/>
      <c r="I35" s="282" t="s">
        <v>327</v>
      </c>
      <c r="J35" s="232"/>
      <c r="K35" s="232"/>
      <c r="L35" s="281"/>
    </row>
    <row r="36" hidden="1" outlineLevel="2">
      <c r="B36" s="280"/>
      <c r="C36" s="249" t="s">
        <v>364</v>
      </c>
      <c r="D36" s="250"/>
      <c r="E36" s="250"/>
      <c r="F36" s="250"/>
      <c r="G36" s="251"/>
      <c r="H36" s="283"/>
      <c r="I36" s="284" t="s">
        <v>365</v>
      </c>
      <c r="J36" s="232"/>
      <c r="K36" s="232"/>
      <c r="L36" s="281"/>
    </row>
    <row r="37" hidden="1" outlineLevel="2">
      <c r="B37" s="280"/>
      <c r="C37" s="253"/>
      <c r="G37" s="254"/>
      <c r="H37" s="283"/>
      <c r="I37" s="299" t="s">
        <v>366</v>
      </c>
      <c r="J37" s="232"/>
      <c r="K37" s="232"/>
      <c r="L37" s="281"/>
    </row>
    <row r="38" hidden="1" outlineLevel="2">
      <c r="B38" s="280"/>
      <c r="C38" s="253"/>
      <c r="G38" s="254"/>
      <c r="H38" s="283"/>
      <c r="I38" s="286" t="s">
        <v>367</v>
      </c>
      <c r="J38" s="232"/>
      <c r="K38" s="232"/>
      <c r="L38" s="281"/>
    </row>
    <row r="39" ht="74.25" hidden="1" customHeight="1" outlineLevel="2">
      <c r="B39" s="280"/>
      <c r="C39" s="253"/>
      <c r="G39" s="254"/>
      <c r="H39" s="283"/>
      <c r="I39" s="286"/>
      <c r="J39" s="232"/>
      <c r="K39" s="232"/>
      <c r="L39" s="281"/>
    </row>
    <row r="40" ht="74.25" hidden="1" customHeight="1" outlineLevel="2">
      <c r="B40" s="280"/>
      <c r="C40" s="253"/>
      <c r="G40" s="254"/>
      <c r="H40" s="283"/>
      <c r="I40" s="286"/>
      <c r="J40" s="232"/>
      <c r="K40" s="232"/>
      <c r="L40" s="281"/>
    </row>
    <row r="41" ht="74.25" hidden="1" customHeight="1" outlineLevel="2">
      <c r="B41" s="280"/>
      <c r="C41" s="255"/>
      <c r="D41" s="256"/>
      <c r="E41" s="256"/>
      <c r="F41" s="256"/>
      <c r="G41" s="257"/>
      <c r="H41" s="283"/>
      <c r="I41" s="286"/>
      <c r="J41" s="232"/>
      <c r="K41" s="232"/>
      <c r="L41" s="281"/>
    </row>
    <row r="42" hidden="1" outlineLevel="2">
      <c r="B42" s="280"/>
      <c r="C42" s="232"/>
      <c r="D42" s="232"/>
      <c r="E42" s="232"/>
      <c r="F42" s="232"/>
      <c r="G42" s="232"/>
      <c r="H42" s="232"/>
      <c r="I42" s="232"/>
      <c r="J42" s="232"/>
      <c r="K42" s="232"/>
      <c r="L42" s="281"/>
    </row>
    <row r="43">
      <c r="B43" s="9"/>
      <c r="C43" s="9"/>
      <c r="D43" s="219"/>
      <c r="E43" s="9"/>
      <c r="F43" s="219"/>
      <c r="G43" s="220"/>
      <c r="H43" s="219"/>
      <c r="I43" s="235"/>
      <c r="J43" s="235"/>
      <c r="K43" s="235"/>
      <c r="L43" s="9"/>
    </row>
    <row r="44">
      <c r="B44" s="121" t="s">
        <v>368</v>
      </c>
      <c r="H44" s="293"/>
      <c r="I44" s="42" t="s">
        <v>369</v>
      </c>
    </row>
    <row r="45">
      <c r="G45" s="97"/>
      <c r="H45" s="34"/>
      <c r="I45" s="71"/>
    </row>
    <row r="46">
      <c r="B46" s="123" t="s">
        <v>80</v>
      </c>
    </row>
    <row r="47">
      <c r="B47" s="123" t="s">
        <v>113</v>
      </c>
    </row>
    <row r="48">
      <c r="B48" s="294"/>
      <c r="C48" s="294"/>
      <c r="D48" s="294"/>
      <c r="E48" s="294"/>
      <c r="F48" s="294"/>
      <c r="G48" s="294"/>
      <c r="H48" s="294"/>
      <c r="I48" s="294"/>
      <c r="J48" s="294"/>
      <c r="K48" s="294"/>
      <c r="L48" s="294"/>
    </row>
    <row r="49">
      <c r="B49" s="294"/>
      <c r="C49" s="294"/>
      <c r="D49" s="294"/>
      <c r="E49" s="294"/>
      <c r="F49" s="294"/>
      <c r="G49" s="294"/>
      <c r="H49" s="294"/>
      <c r="I49" s="294"/>
      <c r="J49" s="294"/>
      <c r="K49" s="294"/>
      <c r="L49" s="294"/>
    </row>
    <row r="50">
      <c r="B50" s="294"/>
      <c r="C50" s="294"/>
      <c r="D50" s="294"/>
      <c r="E50" s="294"/>
      <c r="F50" s="294"/>
      <c r="G50" s="294"/>
      <c r="H50" s="294"/>
      <c r="I50" s="294"/>
      <c r="J50" s="294"/>
      <c r="K50" s="294"/>
      <c r="L50" s="294"/>
    </row>
    <row r="51">
      <c r="B51" s="294"/>
      <c r="C51" s="294"/>
      <c r="D51" s="294"/>
      <c r="E51" s="294"/>
      <c r="F51" s="294"/>
      <c r="G51" s="294"/>
      <c r="H51" s="294"/>
      <c r="I51" s="294"/>
      <c r="J51" s="294"/>
      <c r="K51" s="294"/>
      <c r="L51" s="294"/>
    </row>
  </sheetData>
  <mergeCells count="50">
    <mergeCell ref="D22:D23"/>
    <mergeCell ref="E22:E23"/>
    <mergeCell ref="F22:F23"/>
    <mergeCell ref="G22:G23"/>
    <mergeCell ref="I22:I23"/>
    <mergeCell ref="K22:K23"/>
    <mergeCell ref="C25:L25"/>
    <mergeCell ref="B26:L26"/>
    <mergeCell ref="C27:L27"/>
    <mergeCell ref="D13:D14"/>
    <mergeCell ref="E13:E14"/>
    <mergeCell ref="E16:E17"/>
    <mergeCell ref="F16:F17"/>
    <mergeCell ref="G16:G17"/>
    <mergeCell ref="H16:H17"/>
    <mergeCell ref="I16:I17"/>
    <mergeCell ref="K16:K17"/>
    <mergeCell ref="F13:F14"/>
    <mergeCell ref="G13:G14"/>
    <mergeCell ref="H13:H14"/>
    <mergeCell ref="I13:I14"/>
    <mergeCell ref="B1:I1"/>
    <mergeCell ref="B3:C3"/>
    <mergeCell ref="B6:E6"/>
    <mergeCell ref="I6:L6"/>
    <mergeCell ref="B7:L7"/>
    <mergeCell ref="B9:L9"/>
    <mergeCell ref="K13:K14"/>
    <mergeCell ref="I19:I20"/>
    <mergeCell ref="K19:K20"/>
    <mergeCell ref="C13:C23"/>
    <mergeCell ref="D16:D17"/>
    <mergeCell ref="D19:D20"/>
    <mergeCell ref="E19:E20"/>
    <mergeCell ref="F19:F20"/>
    <mergeCell ref="G19:G20"/>
    <mergeCell ref="H19:H20"/>
    <mergeCell ref="H22:H23"/>
    <mergeCell ref="C36:G41"/>
    <mergeCell ref="B44:E44"/>
    <mergeCell ref="I44:L44"/>
    <mergeCell ref="B46:L46"/>
    <mergeCell ref="B47:L47"/>
    <mergeCell ref="C28:L28"/>
    <mergeCell ref="C29:L29"/>
    <mergeCell ref="B30:L30"/>
    <mergeCell ref="C31:L31"/>
    <mergeCell ref="C32:L32"/>
    <mergeCell ref="B33:L33"/>
    <mergeCell ref="C35:E35"/>
  </mergeCells>
  <conditionalFormatting sqref="I13:I14">
    <cfRule type="expression" dxfId="0" priority="1">
      <formula>K13="B"</formula>
    </cfRule>
  </conditionalFormatting>
  <conditionalFormatting sqref="I16:I17">
    <cfRule type="expression" dxfId="0" priority="2">
      <formula>K16="A"</formula>
    </cfRule>
  </conditionalFormatting>
  <conditionalFormatting sqref="I19:I20">
    <cfRule type="expression" dxfId="0" priority="3">
      <formula>K19="C"</formula>
    </cfRule>
  </conditionalFormatting>
  <conditionalFormatting sqref="I22:I23">
    <cfRule type="expression" dxfId="0" priority="4">
      <formula>K22="D"</formula>
    </cfRule>
  </conditionalFormatting>
  <conditionalFormatting sqref="I16:I17">
    <cfRule type="expression" dxfId="0" priority="5">
      <formula>K16="D"</formula>
    </cfRule>
  </conditionalFormatting>
  <hyperlinks>
    <hyperlink display="Exercise 7.1 - Email Formatting via Examples" location="C7Exercise1" ref="C4"/>
    <hyperlink display="Back to top ↑" location="C7ExerciseTitle" ref="I6"/>
    <hyperlink display="← Chapter 7: Using Examples (Few-Shot Prompting)" location="C7LessonTitle" ref="B44"/>
    <hyperlink display="Chapter 8: Avoiding Hallucinations →" location="C8LessonTitle" ref="I44"/>
    <hyperlink display="Back to top ↑" location="C7ExerciseTitle" ref="B46"/>
    <hyperlink display="Table of Contents" location="IntroTitle" ref="B47"/>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4.38"/>
    <col customWidth="1" min="4" max="4" width="4.0"/>
    <col customWidth="1" min="5" max="5" width="55.75"/>
    <col customWidth="1" min="6" max="6" width="3.0"/>
    <col customWidth="1" min="7" max="7" width="5.5"/>
  </cols>
  <sheetData>
    <row r="1" ht="32.25" customHeight="1">
      <c r="A1" s="1"/>
      <c r="B1" s="2" t="s">
        <v>63</v>
      </c>
      <c r="F1" s="3"/>
      <c r="G1" s="300" t="s">
        <v>370</v>
      </c>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301" t="s">
        <v>371</v>
      </c>
      <c r="F9" s="12"/>
    </row>
    <row r="10" ht="11.25" customHeight="1">
      <c r="B10" s="302"/>
      <c r="C10" s="303"/>
      <c r="D10" s="303"/>
      <c r="E10" s="303"/>
      <c r="F10" s="304"/>
    </row>
    <row r="11">
      <c r="B11" s="305" t="s">
        <v>372</v>
      </c>
      <c r="F11" s="12"/>
    </row>
    <row r="12" ht="16.5" customHeight="1">
      <c r="B12" s="306" t="s">
        <v>370</v>
      </c>
      <c r="C12" s="307" t="s">
        <v>373</v>
      </c>
      <c r="F12" s="12"/>
    </row>
    <row r="13" ht="16.5" customHeight="1">
      <c r="B13" s="306" t="s">
        <v>370</v>
      </c>
      <c r="C13" s="307" t="s">
        <v>374</v>
      </c>
      <c r="F13" s="12"/>
    </row>
    <row r="14">
      <c r="B14" s="308" t="s">
        <v>375</v>
      </c>
      <c r="C14" s="49"/>
      <c r="D14" s="49"/>
      <c r="E14" s="49"/>
      <c r="F14" s="50"/>
    </row>
    <row r="15" ht="33.75" customHeight="1"/>
    <row r="16" ht="29.25" customHeight="1">
      <c r="B16" s="72" t="s">
        <v>77</v>
      </c>
      <c r="C16" s="73"/>
      <c r="D16" s="73"/>
      <c r="E16" s="74" t="s">
        <v>80</v>
      </c>
      <c r="F16" s="75"/>
    </row>
    <row r="17">
      <c r="B17" s="89" t="s">
        <v>376</v>
      </c>
      <c r="F17" s="12"/>
    </row>
    <row r="18" ht="8.25" customHeight="1">
      <c r="B18" s="22"/>
      <c r="F18" s="24"/>
    </row>
    <row r="19">
      <c r="B19" s="25"/>
      <c r="C19" s="26" t="s">
        <v>90</v>
      </c>
      <c r="E19" s="26" t="s">
        <v>91</v>
      </c>
      <c r="F19" s="24"/>
    </row>
    <row r="20" ht="132.75" customHeight="1">
      <c r="B20" s="25"/>
      <c r="C20" s="105" t="s">
        <v>377</v>
      </c>
      <c r="D20" s="91" t="s">
        <v>93</v>
      </c>
      <c r="E20" s="105" t="str">
        <f>claudeMessages(C20, 'Tutorial How-To'!$E$37,"temperature",0)</f>
        <v>Unfortunately, there doesn't seem to be a definitive record for the heaviest hippo of all time. Hippos are known to be one of the largest land animals, but their exact weights can vary significantly.
Some key points about hippo weights:
- Hippos are sexually dimorphic, meaning male hippos are typically much larger than females. Adult male hippos can weigh between 3,000-9,000 lbs (1,360-4,080 kg), while females are usually 3,000-5,000 lbs (1,360-2,270 kg).
- The largest recorded wild hippo was a male shot in Uganda in 1926, which weighed around 9,920 lbs (4,500 kg). However, this weight is not definitively confirmed.
- In captivity, some exceptionally large hippos have been recorded, such as a male named Ubangi at the San Diego Zoo who weighed around 9,920 lbs (4,500 kg) in the 1970s.
- Overall, the heaviest hippo on record is difficult to pin down, as comprehensive weight data for wild hippos is limited. The largest confirmed weights are likely in the 9,000-10,000 lb (4,000-4,500 kg) range for exceptionally large adult male hippos. But the true "heaviest hippo of all time" remains uncertain.</v>
      </c>
      <c r="F20" s="24"/>
    </row>
    <row r="21" ht="22.5" customHeight="1">
      <c r="B21" s="25"/>
      <c r="F21" s="24"/>
    </row>
    <row r="22">
      <c r="B22" s="89" t="s">
        <v>378</v>
      </c>
      <c r="F22" s="12"/>
    </row>
    <row r="23" ht="8.25" customHeight="1">
      <c r="B23" s="25"/>
      <c r="F23" s="24"/>
    </row>
    <row r="24">
      <c r="B24" s="25"/>
      <c r="C24" s="26" t="s">
        <v>90</v>
      </c>
      <c r="E24" s="26" t="s">
        <v>91</v>
      </c>
      <c r="F24" s="24"/>
    </row>
    <row r="25" ht="77.25" customHeight="1">
      <c r="A25" s="97"/>
      <c r="B25" s="98"/>
      <c r="C25" s="90" t="s">
        <v>379</v>
      </c>
      <c r="D25" s="100" t="s">
        <v>93</v>
      </c>
      <c r="E25" s="92" t="str">
        <f>claudeMessages(C25, 'Tutorial How-To'!$E$37,"temperature",0)</f>
        <v>I do not have definitive information about the heaviest hippo of all time. Hippo weights can vary significantly, and without access to comprehensive records, I cannot state with certainty who the heaviest hippo was. Hippo weights are not as well-documented as some other animals, so I do not want to provide an unverified claim.</v>
      </c>
      <c r="F25" s="102"/>
      <c r="G25" s="97"/>
    </row>
    <row r="26" ht="22.5" customHeight="1">
      <c r="B26" s="25"/>
      <c r="F26" s="24"/>
    </row>
    <row r="27">
      <c r="B27" s="89" t="s">
        <v>380</v>
      </c>
      <c r="F27" s="12"/>
    </row>
    <row r="28" ht="8.25" customHeight="1">
      <c r="B28" s="25"/>
      <c r="F28" s="24"/>
    </row>
    <row r="29">
      <c r="B29" s="25"/>
      <c r="C29" s="26" t="s">
        <v>90</v>
      </c>
      <c r="E29" s="26" t="s">
        <v>91</v>
      </c>
      <c r="F29" s="24"/>
    </row>
    <row r="30" ht="69.0" customHeight="1">
      <c r="B30" s="25"/>
      <c r="C30" s="99" t="s">
        <v>381</v>
      </c>
      <c r="D30" s="100" t="s">
        <v>93</v>
      </c>
      <c r="E30" s="99" t="str">
        <f>claudeMessages(C30, 'Tutorial How-To'!$E$37,"temperature",0)</f>
        <v>&lt;answer&gt;503,000&lt;/answer&gt;</v>
      </c>
      <c r="F30" s="24"/>
    </row>
    <row r="31" ht="69.0" customHeight="1">
      <c r="B31" s="25"/>
      <c r="C31" s="95"/>
      <c r="E31" s="95"/>
      <c r="F31" s="24"/>
    </row>
    <row r="32" ht="69.0" customHeight="1">
      <c r="B32" s="25"/>
      <c r="C32" s="96"/>
      <c r="E32" s="96"/>
      <c r="F32" s="24"/>
    </row>
    <row r="33" ht="22.5" customHeight="1">
      <c r="B33" s="25"/>
      <c r="F33" s="24"/>
    </row>
    <row r="34">
      <c r="B34" s="89" t="s">
        <v>382</v>
      </c>
      <c r="F34" s="12"/>
    </row>
    <row r="35" ht="8.25" customHeight="1">
      <c r="B35" s="25"/>
      <c r="F35" s="24"/>
    </row>
    <row r="36">
      <c r="B36" s="25"/>
      <c r="C36" s="26" t="s">
        <v>90</v>
      </c>
      <c r="E36" s="26" t="s">
        <v>91</v>
      </c>
      <c r="F36" s="24"/>
    </row>
    <row r="37" ht="72.75" customHeight="1">
      <c r="B37" s="25"/>
      <c r="C37" s="93" t="s">
        <v>383</v>
      </c>
      <c r="D37" s="100" t="s">
        <v>93</v>
      </c>
      <c r="E37" s="94" t="str">
        <f>claudeMessages(C37, 'Tutorial How-To'!$E$37,"temperature",0)</f>
        <v>&lt;scratchpad&gt;
The document does not provide the precise subscriber base of Matterport on May 31, 2020. The closest relevant information is:
"As of December 31, 2022, our subscriber base had grown approximately 39% to over 701,000 subscribers from 503,000 subscribers as of December 31, 2021."
This indicates that Matterport had 503,000 subscribers as of December 31, 2021, but does not specify the subscriber count on May 31, 2020.
&lt;/scratchpad&gt;
&lt;answer&gt;The document does not provide the precise subscriber base of Matterport on May 31, 2020.&lt;/answer&gt;</v>
      </c>
      <c r="F37" s="24"/>
    </row>
    <row r="38" ht="72.75" customHeight="1">
      <c r="B38" s="25"/>
      <c r="C38" s="95"/>
      <c r="E38" s="95"/>
      <c r="F38" s="24"/>
    </row>
    <row r="39" ht="72.75" customHeight="1">
      <c r="B39" s="25"/>
      <c r="C39" s="96"/>
      <c r="E39" s="96"/>
      <c r="F39" s="24"/>
    </row>
    <row r="40" ht="22.5" customHeight="1">
      <c r="B40" s="25"/>
      <c r="F40" s="24"/>
    </row>
    <row r="41">
      <c r="B41" s="309" t="s">
        <v>384</v>
      </c>
      <c r="F41" s="12"/>
    </row>
    <row r="42" ht="11.25" customHeight="1">
      <c r="B42" s="25"/>
      <c r="F42" s="24"/>
    </row>
    <row r="43">
      <c r="B43" s="118" t="s">
        <v>385</v>
      </c>
      <c r="C43" s="49"/>
      <c r="D43" s="49"/>
      <c r="E43" s="49"/>
      <c r="F43" s="50"/>
    </row>
    <row r="44" ht="15.75" customHeight="1"/>
    <row r="45" ht="15.75" customHeight="1">
      <c r="E45" s="42" t="s">
        <v>386</v>
      </c>
    </row>
    <row r="46" ht="33.75" customHeight="1"/>
    <row r="47" ht="29.25" customHeight="1">
      <c r="B47" s="72" t="s">
        <v>79</v>
      </c>
      <c r="C47" s="73"/>
      <c r="D47" s="73"/>
      <c r="E47" s="74" t="s">
        <v>80</v>
      </c>
      <c r="F47" s="75"/>
    </row>
    <row r="48">
      <c r="B48" s="89" t="s">
        <v>387</v>
      </c>
      <c r="F48" s="12"/>
    </row>
    <row r="49" ht="8.25" customHeight="1">
      <c r="B49" s="22"/>
      <c r="F49" s="24"/>
    </row>
    <row r="50">
      <c r="B50" s="25"/>
      <c r="C50" s="26" t="s">
        <v>90</v>
      </c>
      <c r="E50" s="26" t="s">
        <v>91</v>
      </c>
      <c r="F50" s="24"/>
    </row>
    <row r="51" ht="132.75" customHeight="1">
      <c r="B51" s="25"/>
      <c r="C51" s="105" t="s">
        <v>377</v>
      </c>
      <c r="D51" s="91" t="s">
        <v>93</v>
      </c>
      <c r="E51" s="105" t="str">
        <f>claudeMessages(C51, 'Tutorial How-To'!$E$37,"temperature",0)</f>
        <v>Unfortunately, there doesn't seem to be a definitive record for the heaviest hippo of all time. Hippos are known to be one of the largest land animals, but their exact weights can vary significantly.
Some key points about hippo weights:
- Hippos are sexually dimorphic, meaning male hippos are typically much larger than females. Adult male hippos can weigh between 3,000-9,000 lbs (1,360-4,080 kg), while females are usually 3,000-5,000 lbs (1,360-2,270 kg).
- The largest recorded wild hippo was a male shot in Uganda in 1926, which weighed around 9,920 lbs (4,500 kg). However, this weight is not definitively confirmed.
- In captivity, some exceptionally large hippos have been recorded, such as a male named Ubangi at the San Diego Zoo who weighed around 9,920 lbs (4,500 kg) in the 1970s.
- Overall, the heaviest hippo on record is difficult to pin down, as comprehensive weight data for wild hippos is limited. The largest confirmed weights are likely in the 9,000-10,000 lb (4,000-4,500 kg) range for exceptionally large adult male hippos. But the true "heaviest hippo of all time" remains uncertain.</v>
      </c>
      <c r="F51" s="24"/>
    </row>
    <row r="52" ht="8.25" customHeight="1">
      <c r="B52" s="25"/>
      <c r="F52" s="12"/>
    </row>
    <row r="53" ht="77.25" customHeight="1">
      <c r="A53" s="97"/>
      <c r="B53" s="98"/>
      <c r="C53" s="90" t="s">
        <v>379</v>
      </c>
      <c r="D53" s="100" t="s">
        <v>93</v>
      </c>
      <c r="E53" s="92" t="str">
        <f>claudeMessages(C53, 'Tutorial How-To'!$E$37,"temperature",0)</f>
        <v>I do not have definitive information about the heaviest hippo of all time. Hippo weights can vary significantly, and without access to comprehensive records, I cannot state with certainty who the heaviest hippo was. Hippo weights are not as well-documented as some other animals, so I do not want to provide an unverified claim.</v>
      </c>
      <c r="F53" s="102"/>
      <c r="G53" s="97"/>
    </row>
    <row r="54" ht="8.25" customHeight="1">
      <c r="B54" s="25"/>
      <c r="F54" s="24"/>
      <c r="G54" s="23" t="s">
        <v>370</v>
      </c>
    </row>
    <row r="55" ht="69.0" customHeight="1">
      <c r="B55" s="25"/>
      <c r="C55" s="99" t="s">
        <v>388</v>
      </c>
      <c r="D55" s="100" t="s">
        <v>93</v>
      </c>
      <c r="E55" s="99" t="str">
        <f>claudeMessages(C55, 'Tutorial How-To'!$E$37,"temperature",0)</f>
        <v>&lt;answer&gt;503,000&lt;/answer&gt;</v>
      </c>
      <c r="F55" s="24"/>
    </row>
    <row r="56" ht="69.0" customHeight="1">
      <c r="B56" s="25"/>
      <c r="C56" s="95"/>
      <c r="E56" s="95"/>
      <c r="F56" s="24"/>
    </row>
    <row r="57" ht="69.0" customHeight="1">
      <c r="B57" s="25"/>
      <c r="C57" s="96"/>
      <c r="E57" s="96"/>
      <c r="F57" s="24"/>
    </row>
    <row r="58" ht="8.25" customHeight="1">
      <c r="B58" s="25"/>
      <c r="F58" s="24"/>
    </row>
    <row r="59" ht="72.75" customHeight="1">
      <c r="B59" s="25"/>
      <c r="C59" s="93" t="s">
        <v>389</v>
      </c>
      <c r="D59" s="100" t="s">
        <v>93</v>
      </c>
      <c r="E59" s="94" t="str">
        <f>claudeMessages(C59, 'Tutorial How-To'!$E$37,"temperature",0)</f>
        <v>&lt;scratchpad&gt;
The document does not provide the precise subscriber base of Matterport on May 31, 2020. The closest relevant information is:
"As of December 31, 2022, our subscriber base had grown approximately 39% to over 701,000 subscribers from 503,000 subscribers as of December 31, 2021."
This indicates that Matterport had 503,000 subscribers as of December 31, 2021, but does not specify the subscriber count on May 31, 2020.
&lt;/scratchpad&gt;
&lt;answer&gt;The document does not provide the precise subscriber base of Matterport on May 31, 2020.&lt;/answer&gt;</v>
      </c>
      <c r="F59" s="24"/>
    </row>
    <row r="60" ht="72.75" customHeight="1">
      <c r="B60" s="25"/>
      <c r="C60" s="95"/>
      <c r="E60" s="95"/>
      <c r="F60" s="24"/>
    </row>
    <row r="61" ht="72.75" customHeight="1">
      <c r="B61" s="25"/>
      <c r="C61" s="96"/>
      <c r="E61" s="96"/>
      <c r="F61" s="24"/>
    </row>
    <row r="62">
      <c r="B62" s="120"/>
      <c r="C62" s="65"/>
      <c r="D62" s="65"/>
      <c r="E62" s="65"/>
      <c r="F62" s="66"/>
    </row>
    <row r="64">
      <c r="B64" s="67" t="s">
        <v>390</v>
      </c>
      <c r="E64" s="42" t="s">
        <v>386</v>
      </c>
    </row>
    <row r="65" ht="8.25" customHeight="1"/>
    <row r="66">
      <c r="B66" s="123" t="s">
        <v>80</v>
      </c>
    </row>
    <row r="67">
      <c r="B67" s="123" t="s">
        <v>113</v>
      </c>
    </row>
  </sheetData>
  <mergeCells count="38">
    <mergeCell ref="B1:E1"/>
    <mergeCell ref="B3:C3"/>
    <mergeCell ref="B8:D8"/>
    <mergeCell ref="E8:F8"/>
    <mergeCell ref="B9:F9"/>
    <mergeCell ref="B11:F11"/>
    <mergeCell ref="C12:F12"/>
    <mergeCell ref="C13:F13"/>
    <mergeCell ref="B14:F14"/>
    <mergeCell ref="B16:D16"/>
    <mergeCell ref="E16:F16"/>
    <mergeCell ref="B17:F17"/>
    <mergeCell ref="B22:F22"/>
    <mergeCell ref="B27:F27"/>
    <mergeCell ref="C30:C32"/>
    <mergeCell ref="D30:D32"/>
    <mergeCell ref="E30:E32"/>
    <mergeCell ref="B34:F34"/>
    <mergeCell ref="C37:C39"/>
    <mergeCell ref="D37:D39"/>
    <mergeCell ref="E37:E39"/>
    <mergeCell ref="B41:F41"/>
    <mergeCell ref="B43:F43"/>
    <mergeCell ref="E45:F45"/>
    <mergeCell ref="B47:D47"/>
    <mergeCell ref="E47:F47"/>
    <mergeCell ref="B48:F48"/>
    <mergeCell ref="B52:F52"/>
    <mergeCell ref="B64:D64"/>
    <mergeCell ref="B66:F66"/>
    <mergeCell ref="B67:F67"/>
    <mergeCell ref="C55:C57"/>
    <mergeCell ref="D55:D57"/>
    <mergeCell ref="E55:E57"/>
    <mergeCell ref="C59:C61"/>
    <mergeCell ref="D59:D61"/>
    <mergeCell ref="E59:E61"/>
    <mergeCell ref="E64:F64"/>
  </mergeCells>
  <hyperlinks>
    <hyperlink display="Lesson" location="C8Lesson" ref="C4"/>
    <hyperlink display="Examples" location="C8Examples" ref="C5"/>
    <hyperlink display="Example Playground" location="C8ExamplePlayground" ref="C6"/>
    <hyperlink display="Back to top ↑" location="C8LessonTitle" ref="E8"/>
    <hyperlink r:id="rId1" ref="B14"/>
    <hyperlink display="Back to top ↑" location="C8LessonTitle" ref="E16"/>
    <hyperlink r:id="rId2" ref="B41"/>
    <hyperlink display="Chapter 8 Exercises: Avoiding Hallucinations →" location="C8ExerciseTitle" ref="E45"/>
    <hyperlink display="Back to top ↑" location="C8LessonTitle" ref="E47"/>
    <hyperlink display="← Chapter 7 Exercises: Using Examples (Few-Shot Prompting)" location="C7ExerciseTitle" ref="B64"/>
    <hyperlink display="Chapter 8 Exercises: Avoiding Hallucinations →" location="C8ExerciseTitle" ref="E64"/>
    <hyperlink display="Back to top ↑" location="C8LessonTitle" ref="B66"/>
    <hyperlink display="Table of Contents" location="IntroTitle" ref="B6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391</v>
      </c>
      <c r="F1" s="3"/>
      <c r="G1" s="3"/>
    </row>
    <row r="2" ht="21.75" customHeight="1"/>
    <row r="3" ht="21.75" customHeight="1">
      <c r="A3" s="23"/>
      <c r="B3" s="69" t="s">
        <v>76</v>
      </c>
    </row>
    <row r="4" ht="15.75" customHeight="1">
      <c r="A4" s="23"/>
      <c r="C4" s="70" t="s">
        <v>392</v>
      </c>
    </row>
    <row r="5" ht="15.75" customHeight="1">
      <c r="A5" s="23"/>
      <c r="C5" s="70" t="s">
        <v>393</v>
      </c>
    </row>
    <row r="6" ht="33.75" customHeight="1"/>
    <row r="7" ht="29.25" customHeight="1">
      <c r="A7" s="71"/>
      <c r="B7" s="72" t="s">
        <v>392</v>
      </c>
      <c r="C7" s="73"/>
      <c r="D7" s="73"/>
      <c r="E7" s="74" t="s">
        <v>80</v>
      </c>
      <c r="F7" s="75"/>
      <c r="G7" s="71"/>
    </row>
    <row r="8">
      <c r="B8" s="274" t="s">
        <v>394</v>
      </c>
      <c r="F8" s="12"/>
    </row>
    <row r="9" ht="8.25" customHeight="1">
      <c r="B9" s="25"/>
      <c r="F9" s="24"/>
    </row>
    <row r="10" ht="15.75" customHeight="1">
      <c r="B10" s="25"/>
      <c r="C10" s="26" t="s">
        <v>90</v>
      </c>
      <c r="E10" s="26" t="s">
        <v>91</v>
      </c>
      <c r="F10" s="24"/>
    </row>
    <row r="11" ht="70.5" customHeight="1">
      <c r="B11" s="25"/>
      <c r="C11" s="179" t="s">
        <v>395</v>
      </c>
      <c r="D11" s="91" t="s">
        <v>93</v>
      </c>
      <c r="E11" s="99" t="str">
        <f>claudeMessages(C11, 'Tutorial How-To'!$E$37,"temperature",0)</f>
        <v>I don't know the exact year Beyoncé released her eighth studio album. Beyoncé has released several studio albums over the course of her career, but without more specific information about the album in question, I cannot confidently state the release year. To determine the year of release for Beyoncé's eighth studio album, I would need more details such as the album title or the approximate timeframe it was released.</v>
      </c>
      <c r="F11" s="24"/>
    </row>
    <row r="12" ht="70.5" customHeight="1">
      <c r="B12" s="25"/>
      <c r="C12" s="180"/>
      <c r="E12" s="95"/>
      <c r="F12" s="24"/>
    </row>
    <row r="13" ht="116.25" customHeight="1">
      <c r="B13" s="25"/>
      <c r="C13" s="181"/>
      <c r="E13" s="96"/>
      <c r="F13" s="24"/>
    </row>
    <row r="14" ht="15.75" customHeight="1">
      <c r="B14" s="25"/>
      <c r="F14" s="24"/>
    </row>
    <row r="15" collapsed="1">
      <c r="B15" s="127" t="s">
        <v>120</v>
      </c>
      <c r="C15" s="128" t="s">
        <v>121</v>
      </c>
      <c r="F15" s="12"/>
    </row>
    <row r="16" hidden="1" outlineLevel="1">
      <c r="B16" s="129" t="s">
        <v>396</v>
      </c>
      <c r="F16" s="12"/>
    </row>
    <row r="17" ht="33.75" customHeight="1">
      <c r="B17" s="9"/>
      <c r="C17" s="9"/>
      <c r="D17" s="9"/>
      <c r="E17" s="9"/>
      <c r="F17" s="9"/>
    </row>
    <row r="18" ht="29.25" customHeight="1">
      <c r="A18" s="71"/>
      <c r="B18" s="72" t="s">
        <v>393</v>
      </c>
      <c r="C18" s="73"/>
      <c r="D18" s="73"/>
      <c r="E18" s="74" t="s">
        <v>80</v>
      </c>
      <c r="F18" s="75"/>
      <c r="G18" s="71"/>
    </row>
    <row r="19">
      <c r="B19" s="80" t="s">
        <v>397</v>
      </c>
      <c r="F19" s="12"/>
    </row>
    <row r="20" ht="8.25" customHeight="1">
      <c r="B20" s="25"/>
      <c r="F20" s="24"/>
    </row>
    <row r="21" ht="15.75" customHeight="1">
      <c r="B21" s="25"/>
      <c r="C21" s="26" t="s">
        <v>90</v>
      </c>
      <c r="E21" s="26" t="s">
        <v>91</v>
      </c>
      <c r="F21" s="24"/>
    </row>
    <row r="22" ht="72.75" customHeight="1">
      <c r="B22" s="25"/>
      <c r="C22" s="179" t="s">
        <v>398</v>
      </c>
      <c r="D22" s="91" t="s">
        <v>93</v>
      </c>
      <c r="E22" s="99" t="str">
        <f>claudeMessages(C22, 'Tutorial How-To'!$E$37,"temperature",0)</f>
        <v>&lt;scratchpad&gt;
The most relevant quote from the document is:
"Our subscribers have grown approximately 49-fold from December 31, 2018 to December 31, 2022."
This directly answers the question about the growth in Matterport's subscribers from December 2018 to December 2022.
&lt;/scratchpad&gt;
&lt;answer&gt;Matterport's subscribers grew approximately 49-fold from December 2018 to December 2022.&lt;/answer&gt;</v>
      </c>
      <c r="F22" s="24"/>
    </row>
    <row r="23" ht="72.75" customHeight="1">
      <c r="B23" s="25"/>
      <c r="C23" s="180"/>
      <c r="E23" s="95"/>
      <c r="F23" s="24"/>
    </row>
    <row r="24" ht="72.75" customHeight="1">
      <c r="B24" s="25"/>
      <c r="C24" s="180"/>
      <c r="E24" s="95"/>
      <c r="F24" s="24"/>
    </row>
    <row r="25" ht="72.75" customHeight="1">
      <c r="B25" s="25"/>
      <c r="C25" s="181"/>
      <c r="E25" s="96"/>
      <c r="F25" s="24"/>
    </row>
    <row r="26" ht="15.75" customHeight="1">
      <c r="B26" s="25"/>
      <c r="F26" s="24"/>
    </row>
    <row r="27" collapsed="1">
      <c r="B27" s="127" t="s">
        <v>120</v>
      </c>
      <c r="C27" s="128" t="s">
        <v>121</v>
      </c>
      <c r="F27" s="12"/>
    </row>
    <row r="28" hidden="1" outlineLevel="1">
      <c r="B28" s="129" t="s">
        <v>399</v>
      </c>
      <c r="F28" s="12"/>
    </row>
    <row r="29">
      <c r="B29" s="9"/>
      <c r="C29" s="9"/>
      <c r="D29" s="9"/>
      <c r="E29" s="9"/>
      <c r="F29" s="9"/>
    </row>
    <row r="30">
      <c r="B30" s="121" t="s">
        <v>400</v>
      </c>
      <c r="E30" s="42" t="s">
        <v>401</v>
      </c>
    </row>
    <row r="31" ht="8.25" customHeight="1"/>
    <row r="32">
      <c r="B32" s="123" t="s">
        <v>80</v>
      </c>
    </row>
    <row r="33">
      <c r="B33" s="123" t="s">
        <v>113</v>
      </c>
    </row>
  </sheetData>
  <mergeCells count="22">
    <mergeCell ref="B1:E1"/>
    <mergeCell ref="B3:C3"/>
    <mergeCell ref="B7:D7"/>
    <mergeCell ref="E7:F7"/>
    <mergeCell ref="B8:F8"/>
    <mergeCell ref="C11:C13"/>
    <mergeCell ref="D11:D13"/>
    <mergeCell ref="D22:D25"/>
    <mergeCell ref="E22:E25"/>
    <mergeCell ref="C27:F27"/>
    <mergeCell ref="B28:F28"/>
    <mergeCell ref="B30:D30"/>
    <mergeCell ref="E30:F30"/>
    <mergeCell ref="B32:F32"/>
    <mergeCell ref="B33:F33"/>
    <mergeCell ref="E11:E13"/>
    <mergeCell ref="C15:F15"/>
    <mergeCell ref="B16:F16"/>
    <mergeCell ref="B18:D18"/>
    <mergeCell ref="E18:F18"/>
    <mergeCell ref="B19:F19"/>
    <mergeCell ref="C22:C25"/>
  </mergeCells>
  <conditionalFormatting sqref="E11:E13">
    <cfRule type="expression" dxfId="0" priority="1">
      <formula>OR(ISNUMBER(SEARCH("Unfortunately",E11)),ISNUMBER(SEARCH("I do not",E11)),ISNUMBER(SEARCH("I don't",E11)))</formula>
    </cfRule>
  </conditionalFormatting>
  <conditionalFormatting sqref="E11:E13">
    <cfRule type="notContainsText" dxfId="0" priority="2" operator="notContains" text="2022">
      <formula>ISERROR(SEARCH(("2022"),(E11)))</formula>
    </cfRule>
  </conditionalFormatting>
  <conditionalFormatting sqref="E22:E25">
    <cfRule type="containsText" dxfId="0" priority="3" operator="containsText" text="49-fold">
      <formula>NOT(ISERROR(SEARCH(("49-fold"),(E22))))</formula>
    </cfRule>
  </conditionalFormatting>
  <hyperlinks>
    <hyperlink display="Exercise 8.1 - Beyoncé Hallucination" location="C8Exercise1" ref="C4"/>
    <hyperlink display="Exercise 8.2 - Prospectus Hallucination" location="C8Exercise2" ref="C5"/>
    <hyperlink display="Back to top ↑" location="C8ExerciseTitle" ref="E7"/>
    <hyperlink display="Back to top ↑" location="C8ExerciseTitle" ref="E18"/>
    <hyperlink display="← Chapter 8: Avoiding Hallucinations" location="C8LessonTitle" ref="B30"/>
    <hyperlink display="Chapter 9: Complex Prompts from Scratch - Chatbot →" location="C9TemplateTitle" ref="E30"/>
    <hyperlink display="Back to top ↑" location="C8ExerciseTitle" ref="B32"/>
    <hyperlink display="Table of Contents" location="IntroTitle" ref="B33"/>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36.13"/>
    <col customWidth="1" min="7" max="7" width="4.0"/>
    <col customWidth="1" min="8" max="8" width="25.63"/>
    <col customWidth="1" min="9" max="9" width="4.0"/>
    <col customWidth="1" min="10" max="10" width="43.0"/>
    <col customWidth="1" min="11" max="11" width="4.0"/>
    <col customWidth="1" min="12" max="12" width="31.0"/>
    <col customWidth="1" min="13" max="13" width="3.0"/>
    <col customWidth="1" min="14" max="14" width="5.5"/>
  </cols>
  <sheetData>
    <row r="1" ht="32.25" customHeight="1">
      <c r="A1" s="134"/>
      <c r="B1" s="310" t="s">
        <v>402</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1" t="s">
        <v>76</v>
      </c>
      <c r="C3" s="108"/>
      <c r="D3" s="108"/>
      <c r="E3" s="108"/>
      <c r="F3" s="108"/>
      <c r="G3" s="108"/>
      <c r="H3" s="137"/>
      <c r="I3" s="137"/>
      <c r="J3" s="108"/>
      <c r="K3" s="108"/>
      <c r="L3" s="108"/>
      <c r="M3" s="108"/>
      <c r="N3" s="108"/>
    </row>
    <row r="4" ht="15.75" customHeight="1">
      <c r="A4" s="137"/>
      <c r="B4" s="108"/>
      <c r="C4" s="139" t="s">
        <v>53</v>
      </c>
      <c r="E4" s="108"/>
      <c r="F4" s="108"/>
      <c r="G4" s="108"/>
      <c r="H4" s="137"/>
      <c r="I4" s="108"/>
      <c r="J4" s="137"/>
      <c r="K4" s="137"/>
      <c r="L4" s="137"/>
      <c r="M4" s="108"/>
      <c r="N4" s="108"/>
    </row>
    <row r="5" ht="15.75" customHeight="1">
      <c r="A5" s="137"/>
      <c r="B5" s="108"/>
      <c r="C5" s="139" t="s">
        <v>403</v>
      </c>
      <c r="E5" s="108"/>
      <c r="F5" s="108"/>
      <c r="G5" s="108"/>
      <c r="H5" s="137"/>
      <c r="I5" s="108"/>
      <c r="J5" s="137"/>
      <c r="K5" s="137"/>
      <c r="L5" s="137"/>
      <c r="M5" s="108"/>
      <c r="N5" s="108"/>
    </row>
    <row r="6" ht="33.75" customHeight="1">
      <c r="A6" s="108"/>
      <c r="B6" s="140"/>
      <c r="C6" s="140"/>
      <c r="D6" s="140"/>
      <c r="E6" s="140"/>
      <c r="F6" s="140"/>
      <c r="G6" s="140"/>
      <c r="H6" s="140"/>
      <c r="I6" s="140"/>
      <c r="J6" s="140"/>
      <c r="K6" s="140"/>
      <c r="L6" s="140"/>
      <c r="M6" s="140"/>
      <c r="N6" s="108"/>
    </row>
    <row r="7" ht="29.25" customHeight="1">
      <c r="A7" s="141"/>
      <c r="B7" s="142" t="s">
        <v>53</v>
      </c>
      <c r="G7" s="144"/>
      <c r="H7" s="144"/>
      <c r="I7" s="144"/>
      <c r="J7" s="205"/>
      <c r="K7" s="205"/>
      <c r="L7" s="143" t="s">
        <v>80</v>
      </c>
      <c r="M7" s="12"/>
      <c r="N7" s="144"/>
    </row>
    <row r="8">
      <c r="A8" s="106"/>
      <c r="B8" s="147" t="s">
        <v>404</v>
      </c>
      <c r="C8" s="49"/>
      <c r="D8" s="49"/>
      <c r="E8" s="49"/>
      <c r="F8" s="49"/>
      <c r="G8" s="49"/>
      <c r="H8" s="49"/>
      <c r="I8" s="49"/>
      <c r="J8" s="49"/>
      <c r="K8" s="49"/>
      <c r="L8" s="49"/>
      <c r="M8" s="50"/>
      <c r="N8" s="108"/>
    </row>
    <row r="9" ht="33.75" customHeight="1">
      <c r="A9" s="108"/>
      <c r="B9" s="140"/>
      <c r="C9" s="194"/>
      <c r="D9" s="140"/>
      <c r="E9" s="140"/>
      <c r="F9" s="140"/>
      <c r="G9" s="140"/>
      <c r="H9" s="140"/>
      <c r="I9" s="140"/>
      <c r="J9" s="194"/>
      <c r="K9" s="194"/>
      <c r="L9" s="194"/>
      <c r="M9" s="140"/>
      <c r="N9" s="108"/>
    </row>
    <row r="10" ht="29.25" customHeight="1">
      <c r="A10" s="106"/>
      <c r="B10" s="142" t="s">
        <v>403</v>
      </c>
      <c r="G10" s="108"/>
      <c r="H10" s="108"/>
      <c r="I10" s="108"/>
      <c r="J10" s="205"/>
      <c r="K10" s="205"/>
      <c r="L10" s="143" t="s">
        <v>80</v>
      </c>
      <c r="M10" s="12"/>
      <c r="N10" s="108"/>
    </row>
    <row r="11">
      <c r="A11" s="106"/>
      <c r="B11" s="148" t="s">
        <v>405</v>
      </c>
      <c r="M11" s="12"/>
      <c r="N11" s="108"/>
    </row>
    <row r="12" ht="8.25" customHeight="1">
      <c r="A12" s="106"/>
      <c r="B12" s="137"/>
      <c r="C12" s="144"/>
      <c r="D12" s="108"/>
      <c r="E12" s="108"/>
      <c r="F12" s="108"/>
      <c r="G12" s="108"/>
      <c r="H12" s="108"/>
      <c r="I12" s="108"/>
      <c r="J12" s="144"/>
      <c r="K12" s="144"/>
      <c r="L12" s="144"/>
      <c r="M12" s="106"/>
      <c r="N12" s="108"/>
    </row>
    <row r="13">
      <c r="A13" s="106"/>
      <c r="B13" s="108"/>
      <c r="C13" s="205"/>
      <c r="D13" s="312" t="s">
        <v>406</v>
      </c>
      <c r="E13" s="108"/>
      <c r="F13" s="312" t="s">
        <v>407</v>
      </c>
      <c r="G13" s="108"/>
      <c r="H13" s="313" t="s">
        <v>403</v>
      </c>
      <c r="I13" s="205"/>
      <c r="J13" s="205"/>
      <c r="K13" s="108"/>
      <c r="L13" s="314" t="s">
        <v>408</v>
      </c>
      <c r="M13" s="106"/>
      <c r="N13" s="108"/>
    </row>
    <row r="14" ht="3.75" customHeight="1">
      <c r="A14" s="106"/>
      <c r="B14" s="108"/>
      <c r="C14" s="205"/>
      <c r="D14" s="137"/>
      <c r="E14" s="108"/>
      <c r="F14" s="173"/>
      <c r="G14" s="108"/>
      <c r="H14" s="315"/>
      <c r="I14" s="315"/>
      <c r="J14" s="315"/>
      <c r="K14" s="108"/>
      <c r="L14" s="173"/>
      <c r="M14" s="106"/>
      <c r="N14" s="108"/>
    </row>
    <row r="15">
      <c r="A15" s="106"/>
      <c r="B15" s="108"/>
      <c r="C15" s="316" t="s">
        <v>272</v>
      </c>
      <c r="D15" s="317" t="s">
        <v>409</v>
      </c>
      <c r="E15" s="164"/>
      <c r="F15" s="202" t="s">
        <v>410</v>
      </c>
      <c r="G15" s="111"/>
      <c r="H15" s="318" t="s">
        <v>411</v>
      </c>
      <c r="I15" s="291"/>
      <c r="J15" s="157"/>
      <c r="K15" s="111"/>
      <c r="L15" s="319" t="s">
        <v>412</v>
      </c>
      <c r="M15" s="106"/>
      <c r="N15" s="108"/>
    </row>
    <row r="16" ht="15.75" customHeight="1">
      <c r="A16" s="106"/>
      <c r="B16" s="108"/>
      <c r="C16" s="205"/>
      <c r="D16" s="205"/>
      <c r="E16" s="192"/>
      <c r="F16" s="320"/>
      <c r="G16" s="108"/>
      <c r="H16" s="320"/>
      <c r="I16" s="320"/>
      <c r="J16" s="320"/>
      <c r="K16" s="108"/>
      <c r="L16" s="320"/>
      <c r="M16" s="106"/>
      <c r="N16" s="108"/>
    </row>
    <row r="17">
      <c r="A17" s="106"/>
      <c r="B17" s="108"/>
      <c r="C17" s="316" t="s">
        <v>274</v>
      </c>
      <c r="D17" s="317" t="s">
        <v>413</v>
      </c>
      <c r="E17" s="164"/>
      <c r="F17" s="202" t="s">
        <v>414</v>
      </c>
      <c r="G17" s="111"/>
      <c r="H17" s="318" t="s">
        <v>415</v>
      </c>
      <c r="I17" s="291"/>
      <c r="J17" s="157"/>
      <c r="K17" s="111"/>
      <c r="L17" s="319" t="s">
        <v>416</v>
      </c>
      <c r="M17" s="106"/>
      <c r="N17" s="108"/>
    </row>
    <row r="18" ht="15.75" customHeight="1">
      <c r="A18" s="106"/>
      <c r="B18" s="108"/>
      <c r="C18" s="108"/>
      <c r="D18" s="108"/>
      <c r="E18" s="108"/>
      <c r="F18" s="321"/>
      <c r="G18" s="108"/>
      <c r="H18" s="321"/>
      <c r="I18" s="321"/>
      <c r="J18" s="321"/>
      <c r="K18" s="108"/>
      <c r="L18" s="321"/>
      <c r="M18" s="106"/>
      <c r="N18" s="108"/>
    </row>
    <row r="19">
      <c r="A19" s="106"/>
      <c r="B19" s="108"/>
      <c r="C19" s="322" t="s">
        <v>276</v>
      </c>
      <c r="D19" s="317" t="s">
        <v>417</v>
      </c>
      <c r="E19" s="111"/>
      <c r="F19" s="202" t="s">
        <v>418</v>
      </c>
      <c r="G19" s="111"/>
      <c r="H19" s="318" t="s">
        <v>419</v>
      </c>
      <c r="I19" s="291"/>
      <c r="J19" s="157"/>
      <c r="K19" s="111"/>
      <c r="L19" s="319" t="s">
        <v>420</v>
      </c>
      <c r="M19" s="106"/>
      <c r="N19" s="108"/>
    </row>
    <row r="20" ht="15.75" customHeight="1">
      <c r="A20" s="106"/>
      <c r="B20" s="108"/>
      <c r="C20" s="108"/>
      <c r="D20" s="108"/>
      <c r="E20" s="108"/>
      <c r="F20" s="321"/>
      <c r="G20" s="108"/>
      <c r="H20" s="321"/>
      <c r="I20" s="321"/>
      <c r="J20" s="321"/>
      <c r="K20" s="108"/>
      <c r="L20" s="321"/>
      <c r="M20" s="106"/>
      <c r="N20" s="108"/>
    </row>
    <row r="21">
      <c r="A21" s="106"/>
      <c r="B21" s="108"/>
      <c r="C21" s="316" t="s">
        <v>320</v>
      </c>
      <c r="D21" s="323" t="s">
        <v>421</v>
      </c>
      <c r="E21" s="164"/>
      <c r="F21" s="202" t="s">
        <v>422</v>
      </c>
      <c r="G21" s="111"/>
      <c r="H21" s="318" t="s">
        <v>423</v>
      </c>
      <c r="I21" s="291"/>
      <c r="J21" s="157"/>
      <c r="K21" s="111"/>
      <c r="L21" s="319" t="s">
        <v>424</v>
      </c>
      <c r="M21" s="106"/>
      <c r="N21" s="108"/>
    </row>
    <row r="22" ht="15.75" customHeight="1">
      <c r="A22" s="106"/>
      <c r="B22" s="108"/>
      <c r="C22" s="144"/>
      <c r="D22" s="108"/>
      <c r="E22" s="108"/>
      <c r="F22" s="321"/>
      <c r="G22" s="108"/>
      <c r="H22" s="315"/>
      <c r="I22" s="315"/>
      <c r="J22" s="315"/>
      <c r="K22" s="108"/>
      <c r="L22" s="315"/>
      <c r="M22" s="106"/>
      <c r="N22" s="108"/>
    </row>
    <row r="23">
      <c r="A23" s="106"/>
      <c r="B23" s="108"/>
      <c r="C23" s="316" t="s">
        <v>425</v>
      </c>
      <c r="D23" s="317" t="s">
        <v>77</v>
      </c>
      <c r="E23" s="164"/>
      <c r="F23" s="202" t="s">
        <v>426</v>
      </c>
      <c r="G23" s="111"/>
      <c r="H23" s="318" t="s">
        <v>427</v>
      </c>
      <c r="I23" s="291"/>
      <c r="J23" s="157"/>
      <c r="K23" s="111"/>
      <c r="L23" s="319" t="s">
        <v>428</v>
      </c>
      <c r="M23" s="106"/>
      <c r="N23" s="108"/>
    </row>
    <row r="24" ht="15.75" customHeight="1">
      <c r="A24" s="106"/>
      <c r="B24" s="108"/>
      <c r="C24" s="144"/>
      <c r="D24" s="108"/>
      <c r="E24" s="108"/>
      <c r="F24" s="321"/>
      <c r="G24" s="108"/>
      <c r="H24" s="315"/>
      <c r="I24" s="315"/>
      <c r="J24" s="315"/>
      <c r="K24" s="108"/>
      <c r="L24" s="315"/>
      <c r="M24" s="106"/>
      <c r="N24" s="108"/>
    </row>
    <row r="25">
      <c r="A25" s="106"/>
      <c r="B25" s="108"/>
      <c r="C25" s="316" t="s">
        <v>429</v>
      </c>
      <c r="D25" s="317" t="s">
        <v>430</v>
      </c>
      <c r="E25" s="164"/>
      <c r="F25" s="202" t="s">
        <v>431</v>
      </c>
      <c r="G25" s="111"/>
      <c r="H25" s="318" t="s">
        <v>432</v>
      </c>
      <c r="I25" s="291"/>
      <c r="J25" s="157"/>
      <c r="K25" s="111"/>
      <c r="L25" s="319" t="s">
        <v>433</v>
      </c>
      <c r="M25" s="106"/>
      <c r="N25" s="108"/>
    </row>
    <row r="26" ht="15.75" customHeight="1">
      <c r="A26" s="106"/>
      <c r="B26" s="108"/>
      <c r="C26" s="144"/>
      <c r="D26" s="108"/>
      <c r="E26" s="108"/>
      <c r="F26" s="321"/>
      <c r="G26" s="108"/>
      <c r="H26" s="315"/>
      <c r="I26" s="315"/>
      <c r="J26" s="315"/>
      <c r="K26" s="108"/>
      <c r="L26" s="315"/>
      <c r="M26" s="106"/>
      <c r="N26" s="108"/>
    </row>
    <row r="27">
      <c r="A27" s="106"/>
      <c r="B27" s="108"/>
      <c r="C27" s="316" t="s">
        <v>434</v>
      </c>
      <c r="D27" s="317" t="s">
        <v>435</v>
      </c>
      <c r="E27" s="164"/>
      <c r="F27" s="202" t="s">
        <v>436</v>
      </c>
      <c r="G27" s="111"/>
      <c r="H27" s="318" t="s">
        <v>437</v>
      </c>
      <c r="I27" s="291"/>
      <c r="J27" s="157"/>
      <c r="K27" s="111"/>
      <c r="L27" s="324" t="s">
        <v>438</v>
      </c>
      <c r="M27" s="106"/>
      <c r="N27" s="108"/>
    </row>
    <row r="28" ht="15.75" customHeight="1">
      <c r="A28" s="106"/>
      <c r="B28" s="108"/>
      <c r="C28" s="144"/>
      <c r="D28" s="108"/>
      <c r="E28" s="108"/>
      <c r="F28" s="321"/>
      <c r="G28" s="108"/>
      <c r="H28" s="315"/>
      <c r="I28" s="315"/>
      <c r="J28" s="315"/>
      <c r="K28" s="108"/>
      <c r="L28" s="315"/>
      <c r="M28" s="106"/>
      <c r="N28" s="108"/>
    </row>
    <row r="29">
      <c r="A29" s="106"/>
      <c r="B29" s="108"/>
      <c r="C29" s="316" t="s">
        <v>439</v>
      </c>
      <c r="D29" s="317" t="s">
        <v>440</v>
      </c>
      <c r="E29" s="164"/>
      <c r="F29" s="202" t="s">
        <v>441</v>
      </c>
      <c r="G29" s="111"/>
      <c r="H29" s="318" t="s">
        <v>442</v>
      </c>
      <c r="I29" s="291"/>
      <c r="J29" s="157"/>
      <c r="K29" s="111"/>
      <c r="L29" s="319" t="s">
        <v>443</v>
      </c>
      <c r="M29" s="106"/>
      <c r="N29" s="108"/>
    </row>
    <row r="30" ht="15.75" customHeight="1">
      <c r="A30" s="106"/>
      <c r="B30" s="108"/>
      <c r="C30" s="144"/>
      <c r="D30" s="108"/>
      <c r="E30" s="108"/>
      <c r="F30" s="321"/>
      <c r="G30" s="108"/>
      <c r="H30" s="315"/>
      <c r="I30" s="315"/>
      <c r="J30" s="315"/>
      <c r="K30" s="108"/>
      <c r="L30" s="315"/>
      <c r="M30" s="106"/>
      <c r="N30" s="108"/>
    </row>
    <row r="31">
      <c r="A31" s="106"/>
      <c r="B31" s="108"/>
      <c r="C31" s="316" t="s">
        <v>444</v>
      </c>
      <c r="D31" s="317" t="s">
        <v>445</v>
      </c>
      <c r="E31" s="164"/>
      <c r="F31" s="202" t="s">
        <v>446</v>
      </c>
      <c r="G31" s="111"/>
      <c r="H31" s="318" t="s">
        <v>447</v>
      </c>
      <c r="I31" s="291"/>
      <c r="J31" s="157"/>
      <c r="K31" s="111"/>
      <c r="L31" s="319" t="s">
        <v>448</v>
      </c>
      <c r="M31" s="106"/>
      <c r="N31" s="108"/>
    </row>
    <row r="32" ht="15.75" customHeight="1">
      <c r="A32" s="106"/>
      <c r="B32" s="108"/>
      <c r="C32" s="144"/>
      <c r="D32" s="108"/>
      <c r="E32" s="108"/>
      <c r="F32" s="321"/>
      <c r="G32" s="108"/>
      <c r="H32" s="315"/>
      <c r="I32" s="315"/>
      <c r="J32" s="315"/>
      <c r="K32" s="108"/>
      <c r="L32" s="315"/>
      <c r="M32" s="106"/>
      <c r="N32" s="108"/>
    </row>
    <row r="33">
      <c r="A33" s="106"/>
      <c r="B33" s="108"/>
      <c r="C33" s="316" t="s">
        <v>449</v>
      </c>
      <c r="D33" s="317" t="s">
        <v>450</v>
      </c>
      <c r="E33" s="164"/>
      <c r="F33" s="202" t="s">
        <v>451</v>
      </c>
      <c r="G33" s="111"/>
      <c r="H33" s="318" t="s">
        <v>452</v>
      </c>
      <c r="I33" s="291"/>
      <c r="J33" s="157"/>
      <c r="K33" s="111"/>
      <c r="L33" s="319" t="s">
        <v>453</v>
      </c>
      <c r="M33" s="106"/>
      <c r="N33" s="108"/>
    </row>
    <row r="34" ht="22.5" customHeight="1">
      <c r="A34" s="106"/>
      <c r="B34" s="108"/>
      <c r="C34" s="144"/>
      <c r="D34" s="108"/>
      <c r="E34" s="108"/>
      <c r="F34" s="108"/>
      <c r="G34" s="108"/>
      <c r="H34" s="108"/>
      <c r="I34" s="108"/>
      <c r="J34" s="144"/>
      <c r="K34" s="144"/>
      <c r="L34" s="144"/>
      <c r="M34" s="106"/>
      <c r="N34" s="108"/>
    </row>
    <row r="35">
      <c r="A35" s="106"/>
      <c r="B35" s="153" t="s">
        <v>454</v>
      </c>
      <c r="M35" s="12"/>
      <c r="N35" s="108"/>
    </row>
    <row r="36" ht="8.25" customHeight="1">
      <c r="A36" s="106"/>
      <c r="B36" s="108"/>
      <c r="C36" s="144"/>
      <c r="D36" s="108"/>
      <c r="E36" s="108"/>
      <c r="F36" s="108"/>
      <c r="G36" s="108"/>
      <c r="H36" s="108"/>
      <c r="I36" s="108"/>
      <c r="J36" s="144"/>
      <c r="K36" s="144"/>
      <c r="L36" s="144"/>
      <c r="M36" s="106"/>
      <c r="N36" s="108"/>
    </row>
    <row r="37">
      <c r="A37" s="106"/>
      <c r="B37" s="108"/>
      <c r="C37" s="205"/>
      <c r="D37" s="195" t="s">
        <v>455</v>
      </c>
      <c r="E37" s="256"/>
      <c r="F37" s="256"/>
      <c r="G37" s="108"/>
      <c r="H37" s="196" t="s">
        <v>456</v>
      </c>
      <c r="I37" s="108"/>
      <c r="J37" s="196" t="s">
        <v>457</v>
      </c>
      <c r="K37" s="137"/>
      <c r="L37" s="196" t="s">
        <v>91</v>
      </c>
      <c r="M37" s="106"/>
      <c r="N37" s="108"/>
    </row>
    <row r="38" ht="84.0" customHeight="1">
      <c r="A38" s="106"/>
      <c r="B38" s="108"/>
      <c r="C38" s="325"/>
      <c r="D38" s="326" t="str">
        <f>concatenate(H15," ",H17,char(10),char(10),H19,char(10),char(10),H21,char(10),char(10),H23,char(10),char(10),H25,char(10),char(10),H27,char(10),H29,,char(10),H31,char(10),H33)</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{{HISTORY}}
&lt;/history&gt;
Here is the user's question:
&lt;question&gt;
{{QUESTION}}
&lt;/question&gt;
How do you respond to the user's question?
Think about your answer first before you respond.
Put your response in &lt;response&gt;&lt;/response&gt; tags.
Assistant: [Joe] &lt;response&gt;</v>
      </c>
      <c r="F38" s="254"/>
      <c r="G38" s="201" t="s">
        <v>191</v>
      </c>
      <c r="H38" s="207" t="s">
        <v>458</v>
      </c>
      <c r="I38" s="203" t="s">
        <v>193</v>
      </c>
      <c r="J38" s="209" t="str">
        <f>substitute(substitute(D38,"{{HISTORY}}",H38),"{{QUESTION}}",H45)</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
&lt;/history&gt;
Here is the user's question:
&lt;question&gt;
Which of the two careers requires more than a Bachelor's degree?
&lt;/question&gt;
How do you respond to the user's question?
Think about your answer first before you respond.
Put your response in &lt;response&gt;&lt;/response&gt; tags.
Assistant: [Joe] &lt;response&gt;</v>
      </c>
      <c r="K38" s="204" t="s">
        <v>93</v>
      </c>
      <c r="L38" s="162" t="str">
        <f>claudeMessages(J38, 'Tutorial How-To'!$E$37,"temperature",0)</f>
        <v>The career that typically requires more than a bachelor's degree between the two is social worker. While a bachelor's degree in sociology can provide a good foundation, most social worker roles require a master's degree in social work (MSW) for licensure and advanced practice. The human resources specialist role is more commonly attainable with just a bachelor's degree in sociology or a related field.&lt;/response&gt;</v>
      </c>
      <c r="M38" s="106"/>
      <c r="N38" s="108"/>
    </row>
    <row r="39" ht="84.0" customHeight="1">
      <c r="A39" s="106"/>
      <c r="B39" s="108"/>
      <c r="C39" s="325"/>
      <c r="F39" s="254"/>
      <c r="G39" s="114"/>
      <c r="H39" s="114"/>
      <c r="I39" s="114"/>
      <c r="J39" s="114"/>
      <c r="K39" s="114"/>
      <c r="L39" s="95"/>
      <c r="M39" s="106"/>
      <c r="N39" s="108"/>
    </row>
    <row r="40" ht="84.0" customHeight="1">
      <c r="A40" s="106"/>
      <c r="B40" s="108"/>
      <c r="C40" s="325"/>
      <c r="F40" s="254"/>
      <c r="G40" s="114"/>
      <c r="H40" s="114"/>
      <c r="I40" s="114"/>
      <c r="J40" s="114"/>
      <c r="K40" s="114"/>
      <c r="L40" s="95"/>
      <c r="M40" s="106"/>
      <c r="N40" s="108"/>
    </row>
    <row r="41" ht="84.0" customHeight="1">
      <c r="A41" s="106"/>
      <c r="B41" s="108"/>
      <c r="C41" s="325"/>
      <c r="F41" s="254"/>
      <c r="G41" s="114"/>
      <c r="H41" s="114"/>
      <c r="I41" s="114"/>
      <c r="J41" s="114"/>
      <c r="K41" s="114"/>
      <c r="L41" s="95"/>
      <c r="M41" s="106"/>
      <c r="N41" s="108"/>
    </row>
    <row r="42" ht="84.0" customHeight="1">
      <c r="A42" s="106"/>
      <c r="B42" s="108"/>
      <c r="C42" s="325"/>
      <c r="F42" s="254"/>
      <c r="G42" s="114"/>
      <c r="H42" s="157"/>
      <c r="I42" s="114"/>
      <c r="J42" s="114"/>
      <c r="K42" s="114"/>
      <c r="L42" s="95"/>
      <c r="M42" s="106"/>
      <c r="N42" s="108"/>
    </row>
    <row r="43" ht="8.25" customHeight="1">
      <c r="A43" s="106"/>
      <c r="B43" s="108"/>
      <c r="C43" s="327"/>
      <c r="F43" s="254"/>
      <c r="G43" s="108"/>
      <c r="H43" s="108"/>
      <c r="I43" s="114"/>
      <c r="J43" s="114"/>
      <c r="K43" s="114"/>
      <c r="L43" s="95"/>
      <c r="M43" s="106"/>
      <c r="N43" s="108"/>
    </row>
    <row r="44" ht="15.75" customHeight="1">
      <c r="A44" s="106"/>
      <c r="B44" s="108"/>
      <c r="C44" s="327"/>
      <c r="F44" s="254"/>
      <c r="G44" s="108"/>
      <c r="H44" s="196" t="s">
        <v>225</v>
      </c>
      <c r="I44" s="114"/>
      <c r="J44" s="114"/>
      <c r="K44" s="114"/>
      <c r="L44" s="95"/>
      <c r="M44" s="106"/>
      <c r="N44" s="108"/>
    </row>
    <row r="45" ht="18.75" customHeight="1">
      <c r="A45" s="106"/>
      <c r="B45" s="108"/>
      <c r="C45" s="327"/>
      <c r="F45" s="254"/>
      <c r="G45" s="201" t="s">
        <v>191</v>
      </c>
      <c r="H45" s="207" t="s">
        <v>459</v>
      </c>
      <c r="I45" s="114"/>
      <c r="J45" s="114"/>
      <c r="K45" s="114"/>
      <c r="L45" s="95"/>
      <c r="M45" s="106"/>
      <c r="N45" s="108"/>
    </row>
    <row r="46" ht="18.75" customHeight="1">
      <c r="A46" s="106"/>
      <c r="B46" s="108"/>
      <c r="C46" s="327"/>
      <c r="F46" s="254"/>
      <c r="G46" s="114"/>
      <c r="H46" s="114"/>
      <c r="I46" s="114"/>
      <c r="J46" s="114"/>
      <c r="K46" s="114"/>
      <c r="L46" s="95"/>
      <c r="M46" s="106"/>
      <c r="N46" s="108"/>
    </row>
    <row r="47" ht="18.75" customHeight="1">
      <c r="A47" s="106"/>
      <c r="B47" s="108"/>
      <c r="C47" s="327"/>
      <c r="D47" s="256"/>
      <c r="E47" s="256"/>
      <c r="F47" s="257"/>
      <c r="G47" s="114"/>
      <c r="H47" s="157"/>
      <c r="I47" s="114"/>
      <c r="J47" s="157"/>
      <c r="K47" s="114"/>
      <c r="L47" s="96"/>
      <c r="M47" s="106"/>
      <c r="N47" s="108"/>
    </row>
    <row r="48" ht="15.75" customHeight="1">
      <c r="A48" s="106"/>
      <c r="B48" s="140"/>
      <c r="C48" s="194"/>
      <c r="D48" s="140"/>
      <c r="E48" s="140"/>
      <c r="F48" s="140"/>
      <c r="G48" s="140"/>
      <c r="H48" s="140"/>
      <c r="I48" s="140"/>
      <c r="J48" s="194"/>
      <c r="K48" s="194"/>
      <c r="L48" s="194"/>
      <c r="M48" s="175"/>
      <c r="N48" s="108"/>
    </row>
    <row r="49">
      <c r="A49" s="108"/>
      <c r="B49" s="108"/>
      <c r="C49" s="144"/>
      <c r="D49" s="108"/>
      <c r="E49" s="108"/>
      <c r="F49" s="108"/>
      <c r="G49" s="108"/>
      <c r="H49" s="108"/>
      <c r="I49" s="108"/>
      <c r="J49" s="144"/>
      <c r="K49" s="144"/>
      <c r="L49" s="144"/>
      <c r="M49" s="108"/>
      <c r="N49" s="108"/>
    </row>
    <row r="50">
      <c r="A50" s="108"/>
      <c r="B50" s="214" t="s">
        <v>460</v>
      </c>
      <c r="G50" s="108"/>
      <c r="H50" s="108"/>
      <c r="I50" s="166" t="s">
        <v>461</v>
      </c>
      <c r="N50" s="108"/>
    </row>
    <row r="51" ht="8.25" customHeight="1">
      <c r="A51" s="108"/>
      <c r="B51" s="108"/>
      <c r="C51" s="108"/>
      <c r="D51" s="108"/>
      <c r="E51" s="108"/>
      <c r="F51" s="108"/>
      <c r="G51" s="108"/>
      <c r="H51" s="108"/>
      <c r="I51" s="108"/>
      <c r="J51" s="108"/>
      <c r="K51" s="108"/>
      <c r="L51" s="108"/>
      <c r="M51" s="108"/>
      <c r="N51" s="108"/>
    </row>
    <row r="52">
      <c r="A52" s="108"/>
      <c r="B52" s="215" t="s">
        <v>80</v>
      </c>
      <c r="N52" s="108"/>
    </row>
    <row r="53">
      <c r="A53" s="108"/>
      <c r="B53" s="215" t="s">
        <v>113</v>
      </c>
      <c r="N53" s="108"/>
    </row>
    <row r="54">
      <c r="A54" s="108"/>
      <c r="B54" s="108"/>
      <c r="C54" s="144"/>
      <c r="D54" s="108"/>
      <c r="E54" s="108"/>
      <c r="F54" s="108"/>
      <c r="G54" s="108"/>
      <c r="H54" s="108"/>
      <c r="I54" s="108"/>
      <c r="J54" s="144"/>
      <c r="K54" s="144"/>
      <c r="L54" s="144"/>
      <c r="M54" s="108"/>
      <c r="N54" s="108"/>
    </row>
    <row r="55">
      <c r="A55" s="108"/>
      <c r="B55" s="108"/>
      <c r="C55" s="144"/>
      <c r="D55" s="108"/>
      <c r="E55" s="108"/>
      <c r="F55" s="108"/>
      <c r="G55" s="108"/>
      <c r="H55" s="108"/>
      <c r="I55" s="108"/>
      <c r="J55" s="144"/>
      <c r="K55" s="144"/>
      <c r="L55" s="144"/>
      <c r="M55" s="108"/>
      <c r="N55" s="108"/>
    </row>
    <row r="56">
      <c r="A56" s="108"/>
      <c r="B56" s="108"/>
      <c r="C56" s="144"/>
      <c r="D56" s="108"/>
      <c r="E56" s="108"/>
      <c r="F56" s="108"/>
      <c r="G56" s="108"/>
      <c r="H56" s="108"/>
      <c r="I56" s="108"/>
      <c r="J56" s="144"/>
      <c r="K56" s="144"/>
      <c r="L56" s="144"/>
      <c r="M56" s="108"/>
      <c r="N56" s="108"/>
    </row>
    <row r="57">
      <c r="A57" s="108"/>
      <c r="B57" s="108"/>
      <c r="C57" s="144"/>
      <c r="D57" s="108"/>
      <c r="E57" s="108"/>
      <c r="F57" s="108"/>
      <c r="G57" s="108"/>
      <c r="H57" s="108"/>
      <c r="I57" s="108"/>
      <c r="J57" s="144"/>
      <c r="K57" s="144"/>
      <c r="L57" s="144"/>
      <c r="M57" s="108"/>
      <c r="N57" s="108"/>
    </row>
  </sheetData>
  <mergeCells count="34">
    <mergeCell ref="B1:J1"/>
    <mergeCell ref="C4:D4"/>
    <mergeCell ref="C5:D5"/>
    <mergeCell ref="B7:F7"/>
    <mergeCell ref="L7:M7"/>
    <mergeCell ref="B8:M8"/>
    <mergeCell ref="L10:M10"/>
    <mergeCell ref="B10:F10"/>
    <mergeCell ref="B11:M11"/>
    <mergeCell ref="H15:J15"/>
    <mergeCell ref="H17:J17"/>
    <mergeCell ref="H19:J19"/>
    <mergeCell ref="H21:J21"/>
    <mergeCell ref="H23:J23"/>
    <mergeCell ref="H25:J25"/>
    <mergeCell ref="H27:J27"/>
    <mergeCell ref="H29:J29"/>
    <mergeCell ref="H31:J31"/>
    <mergeCell ref="H33:J33"/>
    <mergeCell ref="B35:M35"/>
    <mergeCell ref="D37:F37"/>
    <mergeCell ref="G45:G47"/>
    <mergeCell ref="H45:H47"/>
    <mergeCell ref="B50:F50"/>
    <mergeCell ref="I50:M50"/>
    <mergeCell ref="B52:M52"/>
    <mergeCell ref="B53:M53"/>
    <mergeCell ref="D38:F47"/>
    <mergeCell ref="G38:G42"/>
    <mergeCell ref="H38:H42"/>
    <mergeCell ref="I38:I47"/>
    <mergeCell ref="J38:J47"/>
    <mergeCell ref="K38:K47"/>
    <mergeCell ref="L38:L47"/>
  </mergeCells>
  <hyperlinks>
    <hyperlink display="Lesson" location="C9TempLesson" ref="C4"/>
    <hyperlink display="Example" location="C10TemplateExample" ref="C5"/>
    <hyperlink display="Back to top ↑" location="C9TemplateTitle" ref="L7"/>
    <hyperlink display="Back to top ↑" location="C9TemplateTitle" ref="L10"/>
    <hyperlink display="← Chapter 8 Exercises: Avoiding Hallucinations" location="C8ExerciseTitle" ref="B50"/>
    <hyperlink display="Chapter 9: Complex Prompts for Legal Services →" location="C9LegalTitle" ref="I50"/>
    <hyperlink display="Back to top ↑" location="C9TemplateTitle" ref="B52"/>
    <hyperlink display="Table of Contents" location="IntroTitle" ref="B53"/>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33.38"/>
    <col customWidth="1" min="7" max="7" width="4.0"/>
    <col customWidth="1" min="8" max="8" width="36.63"/>
    <col customWidth="1" min="9" max="9" width="4.0"/>
    <col customWidth="1" min="10" max="10" width="43.0"/>
    <col customWidth="1" min="11" max="11" width="4.0"/>
    <col customWidth="1" min="12" max="12" width="31.0"/>
    <col customWidth="1" min="13" max="13" width="3.0"/>
    <col customWidth="1" min="14" max="14" width="5.5"/>
  </cols>
  <sheetData>
    <row r="1" ht="32.25" customHeight="1">
      <c r="A1" s="134"/>
      <c r="B1" s="135" t="s">
        <v>462</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1" t="s">
        <v>76</v>
      </c>
      <c r="C3" s="108"/>
      <c r="D3" s="108"/>
      <c r="E3" s="108"/>
      <c r="F3" s="108"/>
      <c r="G3" s="108"/>
      <c r="H3" s="137"/>
      <c r="I3" s="137"/>
      <c r="J3" s="108"/>
      <c r="K3" s="108"/>
      <c r="L3" s="108"/>
      <c r="M3" s="108"/>
      <c r="N3" s="108"/>
    </row>
    <row r="4" ht="15.75" customHeight="1">
      <c r="A4" s="137"/>
      <c r="B4" s="108"/>
      <c r="C4" s="139" t="s">
        <v>53</v>
      </c>
      <c r="E4" s="108"/>
      <c r="F4" s="108"/>
      <c r="G4" s="108"/>
      <c r="H4" s="137"/>
      <c r="I4" s="108"/>
      <c r="J4" s="137"/>
      <c r="K4" s="137"/>
      <c r="L4" s="137"/>
      <c r="M4" s="108"/>
      <c r="N4" s="108"/>
    </row>
    <row r="5" ht="15.75" customHeight="1">
      <c r="A5" s="137"/>
      <c r="B5" s="108"/>
      <c r="C5" s="139" t="s">
        <v>403</v>
      </c>
      <c r="E5" s="108"/>
      <c r="F5" s="108"/>
      <c r="G5" s="108"/>
      <c r="H5" s="137"/>
      <c r="I5" s="108"/>
      <c r="J5" s="137"/>
      <c r="K5" s="137"/>
      <c r="L5" s="137"/>
      <c r="M5" s="108"/>
      <c r="N5" s="108"/>
    </row>
    <row r="6" ht="33.75" customHeight="1">
      <c r="A6" s="108"/>
      <c r="B6" s="140"/>
      <c r="C6" s="140"/>
      <c r="D6" s="140"/>
      <c r="E6" s="140"/>
      <c r="F6" s="140"/>
      <c r="G6" s="140"/>
      <c r="H6" s="140"/>
      <c r="I6" s="140"/>
      <c r="J6" s="140"/>
      <c r="K6" s="140"/>
      <c r="L6" s="140"/>
      <c r="M6" s="140"/>
      <c r="N6" s="108"/>
    </row>
    <row r="7" ht="29.25" customHeight="1">
      <c r="A7" s="141"/>
      <c r="B7" s="142" t="s">
        <v>53</v>
      </c>
      <c r="G7" s="144"/>
      <c r="H7" s="144"/>
      <c r="I7" s="144"/>
      <c r="J7" s="205"/>
      <c r="K7" s="205"/>
      <c r="L7" s="143" t="s">
        <v>80</v>
      </c>
      <c r="M7" s="12"/>
      <c r="N7" s="144"/>
    </row>
    <row r="8">
      <c r="A8" s="106"/>
      <c r="B8" s="328" t="s">
        <v>463</v>
      </c>
      <c r="C8" s="49"/>
      <c r="D8" s="49"/>
      <c r="E8" s="49"/>
      <c r="F8" s="49"/>
      <c r="G8" s="49"/>
      <c r="H8" s="49"/>
      <c r="I8" s="49"/>
      <c r="J8" s="49"/>
      <c r="K8" s="49"/>
      <c r="L8" s="49"/>
      <c r="M8" s="50"/>
      <c r="N8" s="108"/>
    </row>
    <row r="9" ht="33.75" customHeight="1">
      <c r="A9" s="108"/>
      <c r="B9" s="140"/>
      <c r="C9" s="194"/>
      <c r="D9" s="140"/>
      <c r="E9" s="140"/>
      <c r="F9" s="140"/>
      <c r="G9" s="140"/>
      <c r="H9" s="140"/>
      <c r="I9" s="140"/>
      <c r="J9" s="194"/>
      <c r="K9" s="194"/>
      <c r="L9" s="194"/>
      <c r="M9" s="140"/>
      <c r="N9" s="108"/>
    </row>
    <row r="10" ht="29.25" customHeight="1">
      <c r="A10" s="106"/>
      <c r="B10" s="142" t="s">
        <v>403</v>
      </c>
      <c r="G10" s="108"/>
      <c r="H10" s="108"/>
      <c r="I10" s="108"/>
      <c r="J10" s="205"/>
      <c r="K10" s="205"/>
      <c r="L10" s="143" t="s">
        <v>80</v>
      </c>
      <c r="M10" s="12"/>
      <c r="N10" s="108"/>
    </row>
    <row r="11">
      <c r="A11" s="106"/>
      <c r="B11" s="274" t="s">
        <v>464</v>
      </c>
      <c r="M11" s="12"/>
      <c r="N11" s="108"/>
    </row>
    <row r="12" ht="8.25" customHeight="1">
      <c r="A12" s="106"/>
      <c r="B12" s="137"/>
      <c r="C12" s="144"/>
      <c r="D12" s="108"/>
      <c r="E12" s="108"/>
      <c r="F12" s="108"/>
      <c r="G12" s="108"/>
      <c r="H12" s="108"/>
      <c r="I12" s="108"/>
      <c r="J12" s="144"/>
      <c r="K12" s="144"/>
      <c r="L12" s="144"/>
      <c r="M12" s="106"/>
      <c r="N12" s="108"/>
    </row>
    <row r="13" ht="15.75" customHeight="1">
      <c r="A13" s="106"/>
      <c r="B13" s="108"/>
      <c r="C13" s="205"/>
      <c r="D13" s="312" t="s">
        <v>406</v>
      </c>
      <c r="E13" s="108"/>
      <c r="F13" s="312" t="s">
        <v>407</v>
      </c>
      <c r="G13" s="108"/>
      <c r="H13" s="313" t="s">
        <v>403</v>
      </c>
      <c r="I13" s="205"/>
      <c r="J13" s="205"/>
      <c r="K13" s="108"/>
      <c r="L13" s="314" t="s">
        <v>465</v>
      </c>
      <c r="M13" s="106"/>
      <c r="N13" s="108"/>
    </row>
    <row r="14" ht="3.75" customHeight="1">
      <c r="A14" s="106"/>
      <c r="B14" s="108"/>
      <c r="C14" s="205"/>
      <c r="D14" s="137"/>
      <c r="E14" s="108"/>
      <c r="F14" s="173"/>
      <c r="G14" s="108"/>
      <c r="H14" s="315"/>
      <c r="I14" s="315"/>
      <c r="J14" s="315"/>
      <c r="K14" s="108"/>
      <c r="L14" s="173"/>
      <c r="M14" s="106"/>
      <c r="N14" s="108"/>
    </row>
    <row r="15">
      <c r="A15" s="106"/>
      <c r="B15" s="108"/>
      <c r="C15" s="316" t="s">
        <v>272</v>
      </c>
      <c r="D15" s="317" t="s">
        <v>409</v>
      </c>
      <c r="E15" s="164"/>
      <c r="F15" s="202" t="s">
        <v>410</v>
      </c>
      <c r="G15" s="111"/>
      <c r="H15" s="318" t="s">
        <v>411</v>
      </c>
      <c r="I15" s="291"/>
      <c r="J15" s="157"/>
      <c r="K15" s="111"/>
      <c r="L15" s="319" t="s">
        <v>466</v>
      </c>
      <c r="M15" s="106"/>
      <c r="N15" s="108"/>
    </row>
    <row r="16" ht="15.75" customHeight="1">
      <c r="A16" s="106"/>
      <c r="B16" s="108"/>
      <c r="C16" s="205"/>
      <c r="D16" s="205"/>
      <c r="E16" s="192"/>
      <c r="F16" s="320"/>
      <c r="G16" s="108"/>
      <c r="H16" s="320"/>
      <c r="I16" s="320"/>
      <c r="J16" s="320"/>
      <c r="K16" s="108"/>
      <c r="L16" s="320"/>
      <c r="M16" s="106"/>
      <c r="N16" s="108"/>
    </row>
    <row r="17">
      <c r="A17" s="106"/>
      <c r="B17" s="108"/>
      <c r="C17" s="316" t="s">
        <v>274</v>
      </c>
      <c r="D17" s="317" t="s">
        <v>413</v>
      </c>
      <c r="E17" s="164"/>
      <c r="F17" s="202" t="s">
        <v>414</v>
      </c>
      <c r="G17" s="111"/>
      <c r="H17" s="318" t="s">
        <v>467</v>
      </c>
      <c r="I17" s="291"/>
      <c r="J17" s="157"/>
      <c r="K17" s="111"/>
      <c r="L17" s="319" t="s">
        <v>416</v>
      </c>
      <c r="M17" s="106"/>
      <c r="N17" s="108"/>
    </row>
    <row r="18" ht="15.75" customHeight="1">
      <c r="A18" s="106"/>
      <c r="B18" s="108"/>
      <c r="C18" s="108"/>
      <c r="D18" s="108"/>
      <c r="E18" s="108"/>
      <c r="F18" s="321"/>
      <c r="G18" s="108"/>
      <c r="H18" s="321"/>
      <c r="I18" s="321"/>
      <c r="J18" s="321"/>
      <c r="K18" s="108"/>
      <c r="L18" s="321"/>
      <c r="M18" s="106"/>
      <c r="N18" s="108"/>
    </row>
    <row r="19">
      <c r="A19" s="106"/>
      <c r="B19" s="108"/>
      <c r="C19" s="322" t="s">
        <v>276</v>
      </c>
      <c r="D19" s="317" t="s">
        <v>417</v>
      </c>
      <c r="E19" s="111"/>
      <c r="F19" s="202" t="s">
        <v>418</v>
      </c>
      <c r="G19" s="111"/>
      <c r="H19" s="329"/>
      <c r="I19" s="291"/>
      <c r="J19" s="157"/>
      <c r="K19" s="111"/>
      <c r="L19" s="319" t="s">
        <v>420</v>
      </c>
      <c r="M19" s="106"/>
      <c r="N19" s="108"/>
    </row>
    <row r="20" ht="15.75" customHeight="1">
      <c r="A20" s="106"/>
      <c r="B20" s="108"/>
      <c r="C20" s="108"/>
      <c r="D20" s="108"/>
      <c r="E20" s="108"/>
      <c r="F20" s="321"/>
      <c r="G20" s="108"/>
      <c r="H20" s="321"/>
      <c r="I20" s="321"/>
      <c r="J20" s="321"/>
      <c r="K20" s="108"/>
      <c r="L20" s="321"/>
      <c r="M20" s="106"/>
      <c r="N20" s="108"/>
    </row>
    <row r="21">
      <c r="A21" s="106"/>
      <c r="B21" s="108"/>
      <c r="C21" s="316" t="s">
        <v>320</v>
      </c>
      <c r="D21" s="317" t="s">
        <v>430</v>
      </c>
      <c r="E21" s="164"/>
      <c r="F21" s="202" t="s">
        <v>431</v>
      </c>
      <c r="G21" s="111"/>
      <c r="H21" s="318" t="s">
        <v>468</v>
      </c>
      <c r="I21" s="291"/>
      <c r="J21" s="157"/>
      <c r="K21" s="111"/>
      <c r="L21" s="319" t="s">
        <v>469</v>
      </c>
      <c r="M21" s="106"/>
      <c r="N21" s="108"/>
    </row>
    <row r="22" ht="15.75" customHeight="1">
      <c r="A22" s="106"/>
      <c r="B22" s="108"/>
      <c r="C22" s="144"/>
      <c r="D22" s="108"/>
      <c r="E22" s="108"/>
      <c r="F22" s="321"/>
      <c r="G22" s="108"/>
      <c r="H22" s="315"/>
      <c r="I22" s="315"/>
      <c r="J22" s="315"/>
      <c r="K22" s="108"/>
      <c r="L22" s="315"/>
      <c r="M22" s="106"/>
      <c r="N22" s="108"/>
    </row>
    <row r="23" ht="63.75" customHeight="1">
      <c r="A23" s="106"/>
      <c r="B23" s="108"/>
      <c r="C23" s="316" t="s">
        <v>425</v>
      </c>
      <c r="D23" s="317" t="s">
        <v>77</v>
      </c>
      <c r="E23" s="164"/>
      <c r="F23" s="207" t="s">
        <v>470</v>
      </c>
      <c r="G23" s="111"/>
      <c r="H23" s="330" t="s">
        <v>471</v>
      </c>
      <c r="J23" s="114"/>
      <c r="K23" s="111"/>
      <c r="L23" s="331" t="s">
        <v>472</v>
      </c>
      <c r="M23" s="106"/>
      <c r="N23" s="108"/>
    </row>
    <row r="24" ht="63.75" customHeight="1">
      <c r="A24" s="106"/>
      <c r="B24" s="108"/>
      <c r="C24" s="205"/>
      <c r="D24" s="205"/>
      <c r="E24" s="164"/>
      <c r="F24" s="114"/>
      <c r="G24" s="111"/>
      <c r="J24" s="114"/>
      <c r="K24" s="111"/>
      <c r="L24" s="114"/>
      <c r="M24" s="106"/>
      <c r="N24" s="108"/>
    </row>
    <row r="25" ht="63.75" customHeight="1">
      <c r="A25" s="106"/>
      <c r="B25" s="108"/>
      <c r="C25" s="205"/>
      <c r="D25" s="205"/>
      <c r="E25" s="164"/>
      <c r="F25" s="114"/>
      <c r="G25" s="111"/>
      <c r="J25" s="114"/>
      <c r="K25" s="111"/>
      <c r="L25" s="114"/>
      <c r="M25" s="106"/>
      <c r="N25" s="108"/>
    </row>
    <row r="26" ht="63.75" customHeight="1">
      <c r="A26" s="106"/>
      <c r="B26" s="108"/>
      <c r="C26" s="205"/>
      <c r="D26" s="205"/>
      <c r="E26" s="164"/>
      <c r="F26" s="157"/>
      <c r="G26" s="111"/>
      <c r="H26" s="291"/>
      <c r="I26" s="291"/>
      <c r="J26" s="157"/>
      <c r="K26" s="111"/>
      <c r="L26" s="157"/>
      <c r="M26" s="106"/>
      <c r="N26" s="108"/>
    </row>
    <row r="27">
      <c r="A27" s="106"/>
      <c r="B27" s="108"/>
      <c r="C27" s="144"/>
      <c r="D27" s="108"/>
      <c r="E27" s="108"/>
      <c r="F27" s="321"/>
      <c r="G27" s="108"/>
      <c r="H27" s="315"/>
      <c r="I27" s="315"/>
      <c r="J27" s="315"/>
      <c r="K27" s="108"/>
      <c r="L27" s="315"/>
      <c r="M27" s="106"/>
      <c r="N27" s="108"/>
    </row>
    <row r="28" ht="63.75" customHeight="1">
      <c r="A28" s="106"/>
      <c r="B28" s="108"/>
      <c r="C28" s="316" t="s">
        <v>429</v>
      </c>
      <c r="D28" s="317" t="s">
        <v>421</v>
      </c>
      <c r="E28" s="164"/>
      <c r="F28" s="207" t="s">
        <v>422</v>
      </c>
      <c r="G28" s="111"/>
      <c r="H28" s="330" t="s">
        <v>473</v>
      </c>
      <c r="J28" s="114"/>
      <c r="K28" s="111"/>
      <c r="L28" s="331" t="s">
        <v>424</v>
      </c>
      <c r="M28" s="106"/>
      <c r="N28" s="108"/>
    </row>
    <row r="29" ht="63.75" customHeight="1">
      <c r="A29" s="106"/>
      <c r="B29" s="108"/>
      <c r="C29" s="205"/>
      <c r="D29" s="205"/>
      <c r="E29" s="164"/>
      <c r="F29" s="157"/>
      <c r="G29" s="111"/>
      <c r="H29" s="291"/>
      <c r="I29" s="291"/>
      <c r="J29" s="157"/>
      <c r="K29" s="111"/>
      <c r="L29" s="157"/>
      <c r="M29" s="106"/>
      <c r="N29" s="108"/>
    </row>
    <row r="30">
      <c r="A30" s="106"/>
      <c r="B30" s="108"/>
      <c r="C30" s="144"/>
      <c r="D30" s="108"/>
      <c r="E30" s="108"/>
      <c r="F30" s="321"/>
      <c r="G30" s="108"/>
      <c r="H30" s="315"/>
      <c r="I30" s="315"/>
      <c r="J30" s="315"/>
      <c r="K30" s="108"/>
      <c r="L30" s="315"/>
      <c r="M30" s="106"/>
      <c r="N30" s="108"/>
    </row>
    <row r="31" ht="63.75" customHeight="1">
      <c r="A31" s="106"/>
      <c r="B31" s="108"/>
      <c r="C31" s="316" t="s">
        <v>434</v>
      </c>
      <c r="D31" s="317" t="s">
        <v>435</v>
      </c>
      <c r="E31" s="164"/>
      <c r="F31" s="202" t="s">
        <v>436</v>
      </c>
      <c r="G31" s="111"/>
      <c r="H31" s="329"/>
      <c r="I31" s="291"/>
      <c r="J31" s="157"/>
      <c r="K31" s="111"/>
      <c r="L31" s="324" t="s">
        <v>438</v>
      </c>
      <c r="M31" s="106"/>
      <c r="N31" s="108"/>
    </row>
    <row r="32">
      <c r="A32" s="106"/>
      <c r="B32" s="108"/>
      <c r="C32" s="144"/>
      <c r="D32" s="108"/>
      <c r="E32" s="108"/>
      <c r="F32" s="321"/>
      <c r="G32" s="108"/>
      <c r="H32" s="315"/>
      <c r="I32" s="315"/>
      <c r="J32" s="315"/>
      <c r="K32" s="108"/>
      <c r="L32" s="315"/>
      <c r="M32" s="106"/>
      <c r="N32" s="108"/>
    </row>
    <row r="33" ht="63.75" customHeight="1">
      <c r="A33" s="106"/>
      <c r="B33" s="108"/>
      <c r="C33" s="316" t="s">
        <v>439</v>
      </c>
      <c r="D33" s="317" t="s">
        <v>474</v>
      </c>
      <c r="E33" s="164"/>
      <c r="F33" s="202" t="s">
        <v>441</v>
      </c>
      <c r="G33" s="111"/>
      <c r="H33" s="318" t="s">
        <v>475</v>
      </c>
      <c r="I33" s="291"/>
      <c r="J33" s="157"/>
      <c r="K33" s="111"/>
      <c r="L33" s="319" t="s">
        <v>476</v>
      </c>
      <c r="M33" s="106"/>
      <c r="N33" s="108"/>
    </row>
    <row r="34">
      <c r="A34" s="106"/>
      <c r="B34" s="108"/>
      <c r="C34" s="144"/>
      <c r="D34" s="108"/>
      <c r="E34" s="108"/>
      <c r="F34" s="321"/>
      <c r="G34" s="108"/>
      <c r="H34" s="315"/>
      <c r="I34" s="315"/>
      <c r="J34" s="315"/>
      <c r="K34" s="108"/>
      <c r="L34" s="315"/>
      <c r="M34" s="106"/>
      <c r="N34" s="108"/>
    </row>
    <row r="35" ht="101.25" customHeight="1">
      <c r="A35" s="106"/>
      <c r="B35" s="108"/>
      <c r="C35" s="316" t="s">
        <v>444</v>
      </c>
      <c r="D35" s="317" t="s">
        <v>477</v>
      </c>
      <c r="E35" s="164"/>
      <c r="F35" s="207" t="s">
        <v>446</v>
      </c>
      <c r="G35" s="111"/>
      <c r="H35" s="330" t="s">
        <v>478</v>
      </c>
      <c r="J35" s="114"/>
      <c r="K35" s="111"/>
      <c r="L35" s="331" t="s">
        <v>420</v>
      </c>
      <c r="M35" s="106"/>
      <c r="N35" s="108"/>
    </row>
    <row r="36" ht="101.25" customHeight="1">
      <c r="A36" s="106"/>
      <c r="B36" s="108"/>
      <c r="C36" s="205"/>
      <c r="D36" s="205"/>
      <c r="E36" s="164"/>
      <c r="F36" s="157"/>
      <c r="G36" s="111"/>
      <c r="H36" s="291"/>
      <c r="I36" s="291"/>
      <c r="J36" s="157"/>
      <c r="K36" s="111"/>
      <c r="L36" s="157"/>
      <c r="M36" s="106"/>
      <c r="N36" s="108"/>
    </row>
    <row r="37" ht="15.75" customHeight="1">
      <c r="A37" s="106"/>
      <c r="B37" s="108"/>
      <c r="C37" s="144"/>
      <c r="D37" s="108"/>
      <c r="E37" s="108"/>
      <c r="F37" s="321"/>
      <c r="G37" s="108"/>
      <c r="H37" s="315"/>
      <c r="I37" s="315"/>
      <c r="J37" s="315"/>
      <c r="K37" s="108"/>
      <c r="L37" s="315"/>
      <c r="M37" s="106"/>
      <c r="N37" s="108"/>
    </row>
    <row r="38">
      <c r="A38" s="106"/>
      <c r="B38" s="108"/>
      <c r="C38" s="316" t="s">
        <v>449</v>
      </c>
      <c r="D38" s="317" t="s">
        <v>450</v>
      </c>
      <c r="E38" s="164"/>
      <c r="F38" s="202" t="s">
        <v>479</v>
      </c>
      <c r="G38" s="111"/>
      <c r="H38" s="318" t="s">
        <v>480</v>
      </c>
      <c r="I38" s="291"/>
      <c r="J38" s="157"/>
      <c r="K38" s="111"/>
      <c r="L38" s="319" t="s">
        <v>453</v>
      </c>
      <c r="M38" s="106"/>
      <c r="N38" s="108"/>
    </row>
    <row r="39" ht="15.75" customHeight="1">
      <c r="A39" s="106"/>
      <c r="B39" s="108"/>
      <c r="C39" s="144"/>
      <c r="D39" s="108"/>
      <c r="E39" s="108"/>
      <c r="F39" s="108"/>
      <c r="G39" s="108"/>
      <c r="H39" s="108"/>
      <c r="I39" s="108"/>
      <c r="J39" s="144"/>
      <c r="K39" s="144"/>
      <c r="L39" s="144"/>
      <c r="M39" s="106"/>
      <c r="N39" s="108"/>
    </row>
    <row r="40">
      <c r="A40" s="106"/>
      <c r="B40" s="159" t="s">
        <v>481</v>
      </c>
      <c r="M40" s="12"/>
      <c r="N40" s="108"/>
    </row>
    <row r="41" ht="15.75" customHeight="1">
      <c r="A41" s="106"/>
      <c r="B41" s="108"/>
      <c r="C41" s="144"/>
      <c r="D41" s="108"/>
      <c r="E41" s="108"/>
      <c r="F41" s="108"/>
      <c r="G41" s="108"/>
      <c r="H41" s="108"/>
      <c r="I41" s="108"/>
      <c r="J41" s="144"/>
      <c r="K41" s="144"/>
      <c r="L41" s="144"/>
      <c r="M41" s="106"/>
      <c r="N41" s="108"/>
    </row>
    <row r="42">
      <c r="A42" s="106"/>
      <c r="B42" s="108"/>
      <c r="C42" s="205"/>
      <c r="D42" s="312" t="s">
        <v>455</v>
      </c>
      <c r="G42" s="108"/>
      <c r="H42" s="196" t="s">
        <v>225</v>
      </c>
      <c r="I42" s="137"/>
      <c r="J42" s="196" t="s">
        <v>457</v>
      </c>
      <c r="K42" s="108"/>
      <c r="L42" s="196" t="s">
        <v>91</v>
      </c>
      <c r="M42" s="106"/>
      <c r="N42" s="108"/>
    </row>
    <row r="43" ht="84.0" customHeight="1">
      <c r="A43" s="106"/>
      <c r="B43" s="108"/>
      <c r="C43" s="205"/>
      <c r="D43" s="332" t="str">
        <f>concatenate(H15," ",H17,if(isblank(H19),"",char(10)&amp;char(10)&amp;H19),if(isblank(H21),"",char(10)&amp;char(10)&amp;H21),if(isblank(H23),"",char(10)&amp;char(10)&amp;H23),if(isblank(H28),"",char(10)&amp;char(10)&amp;H28),if(isblank(H31),"",char(10)&amp;char(10)&amp;H31),if(isblank(H33),"",char(10)&amp;char(10)&amp;H33),if(isblank(H35),"",char(10)&amp;char(10)&amp;H35),if(isblank(H38),"",char(10)&amp;H38))</f>
        <v>User: You are an expert lawyer.
Here is some research that's been compiled. Use it to answer a legal question from the user.
&lt;legal_research&gt;
{{LEGAL_RESEARCH}}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E43" s="250"/>
      <c r="F43" s="251"/>
      <c r="G43" s="333" t="s">
        <v>191</v>
      </c>
      <c r="H43" s="207" t="s">
        <v>482</v>
      </c>
      <c r="I43" s="203" t="s">
        <v>193</v>
      </c>
      <c r="J43" s="209" t="str">
        <f>substitute(substitute(D43,"{{QUESTION}}",H43),"{{LEGAL_RESEARCH}}",H47)</f>
        <v>User: You are an expert lawyer.
Here is some research that's been compiled. Use it to answer a legal question from the user.
&lt;legal_research&gt;
&lt;search_results&gt;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Are there any laws about what to do with pets during a hurricane?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K43" s="334" t="s">
        <v>93</v>
      </c>
      <c r="L43" s="335" t="str">
        <f>claudeMessages(J43, 'Tutorial How-To'!$E$37,"temperature",0)</f>
        <v>"In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[3]
&lt;/relevant_quotes&gt;
&lt;answer&gt;
The legal research indicates that there are laws in place regarding the treatment of pets during natural disasters like hurricanes. Several states, including Hawaii, Louisiana, and New Hampshire, have enacted laws that require the provision of shelters for pets and the accommodation of service animals during disasters. [3] Additionally, at the federal level, the Pet Evacuation and Transportation Standards Act was passed in 2006, which mandates that state and local emergency preparedness authorities include plans for accommodating household pets and service animals in their evacuation procedures. [3]
In summary, there are laws in place that require authorities to make provisions for the care and evacuation of pets during major natural disasters like hurricanes.
&lt;/answer&gt;</v>
      </c>
      <c r="M43" s="106"/>
      <c r="N43" s="108"/>
    </row>
    <row r="44" ht="15.75" customHeight="1">
      <c r="A44" s="106"/>
      <c r="B44" s="108"/>
      <c r="C44" s="144"/>
      <c r="D44" s="253"/>
      <c r="F44" s="254"/>
      <c r="G44" s="114"/>
      <c r="H44" s="157"/>
      <c r="I44" s="114"/>
      <c r="J44" s="114"/>
      <c r="K44" s="114"/>
      <c r="L44" s="114"/>
      <c r="M44" s="106"/>
      <c r="N44" s="108"/>
    </row>
    <row r="45">
      <c r="A45" s="106"/>
      <c r="B45" s="108"/>
      <c r="C45" s="205"/>
      <c r="D45" s="253"/>
      <c r="F45" s="254"/>
      <c r="G45" s="108"/>
      <c r="H45" s="137"/>
      <c r="I45" s="114"/>
      <c r="J45" s="114"/>
      <c r="K45" s="114"/>
      <c r="L45" s="114"/>
      <c r="M45" s="106"/>
      <c r="N45" s="108"/>
    </row>
    <row r="46" ht="22.5" customHeight="1">
      <c r="A46" s="106"/>
      <c r="B46" s="108"/>
      <c r="C46" s="144"/>
      <c r="D46" s="253"/>
      <c r="F46" s="254"/>
      <c r="G46" s="108"/>
      <c r="H46" s="336" t="s">
        <v>483</v>
      </c>
      <c r="I46" s="114"/>
      <c r="J46" s="114"/>
      <c r="K46" s="114"/>
      <c r="L46" s="114"/>
      <c r="M46" s="106"/>
      <c r="N46" s="108"/>
    </row>
    <row r="47">
      <c r="A47" s="106"/>
      <c r="B47" s="137"/>
      <c r="C47" s="205"/>
      <c r="D47" s="253"/>
      <c r="F47" s="254"/>
      <c r="G47" s="201" t="s">
        <v>191</v>
      </c>
      <c r="H47" s="207" t="s">
        <v>484</v>
      </c>
      <c r="I47" s="114"/>
      <c r="J47" s="114"/>
      <c r="K47" s="114"/>
      <c r="L47" s="114"/>
      <c r="M47" s="146"/>
      <c r="N47" s="108"/>
    </row>
    <row r="48" ht="8.25" customHeight="1">
      <c r="A48" s="106"/>
      <c r="B48" s="108"/>
      <c r="C48" s="144"/>
      <c r="D48" s="253"/>
      <c r="F48" s="254"/>
      <c r="G48" s="114"/>
      <c r="H48" s="114"/>
      <c r="I48" s="114"/>
      <c r="J48" s="114"/>
      <c r="K48" s="114"/>
      <c r="L48" s="114"/>
      <c r="M48" s="106"/>
      <c r="N48" s="108"/>
    </row>
    <row r="49">
      <c r="A49" s="106"/>
      <c r="B49" s="108"/>
      <c r="C49" s="205"/>
      <c r="D49" s="253"/>
      <c r="F49" s="254"/>
      <c r="G49" s="114"/>
      <c r="H49" s="114"/>
      <c r="I49" s="114"/>
      <c r="J49" s="114"/>
      <c r="K49" s="114"/>
      <c r="L49" s="114"/>
      <c r="M49" s="106"/>
      <c r="N49" s="108"/>
    </row>
    <row r="50" ht="65.25" customHeight="1">
      <c r="A50" s="106"/>
      <c r="B50" s="108"/>
      <c r="C50" s="205"/>
      <c r="D50" s="253"/>
      <c r="F50" s="254"/>
      <c r="G50" s="114"/>
      <c r="H50" s="114"/>
      <c r="I50" s="114"/>
      <c r="J50" s="114"/>
      <c r="K50" s="114"/>
      <c r="L50" s="114"/>
      <c r="M50" s="106"/>
      <c r="N50" s="108"/>
    </row>
    <row r="51" ht="65.25" customHeight="1">
      <c r="A51" s="106"/>
      <c r="B51" s="108"/>
      <c r="C51" s="205"/>
      <c r="D51" s="253"/>
      <c r="F51" s="254"/>
      <c r="G51" s="114"/>
      <c r="H51" s="114"/>
      <c r="I51" s="114"/>
      <c r="J51" s="114"/>
      <c r="K51" s="114"/>
      <c r="L51" s="114"/>
      <c r="M51" s="106"/>
      <c r="N51" s="108"/>
    </row>
    <row r="52" ht="8.25" customHeight="1">
      <c r="A52" s="106"/>
      <c r="B52" s="108"/>
      <c r="C52" s="144"/>
      <c r="D52" s="253"/>
      <c r="F52" s="254"/>
      <c r="G52" s="114"/>
      <c r="H52" s="114"/>
      <c r="I52" s="114"/>
      <c r="J52" s="114"/>
      <c r="K52" s="114"/>
      <c r="L52" s="114"/>
      <c r="M52" s="106"/>
      <c r="N52" s="108"/>
    </row>
    <row r="53" ht="15.75" customHeight="1">
      <c r="A53" s="106"/>
      <c r="B53" s="108"/>
      <c r="C53" s="144"/>
      <c r="D53" s="253"/>
      <c r="F53" s="254"/>
      <c r="G53" s="114"/>
      <c r="H53" s="114"/>
      <c r="I53" s="114"/>
      <c r="J53" s="114"/>
      <c r="K53" s="114"/>
      <c r="L53" s="114"/>
      <c r="M53" s="106"/>
      <c r="N53" s="108"/>
    </row>
    <row r="54" ht="82.5" customHeight="1">
      <c r="A54" s="106"/>
      <c r="B54" s="108"/>
      <c r="C54" s="144"/>
      <c r="D54" s="253"/>
      <c r="F54" s="254"/>
      <c r="G54" s="114"/>
      <c r="H54" s="114"/>
      <c r="I54" s="114"/>
      <c r="J54" s="114"/>
      <c r="K54" s="114"/>
      <c r="L54" s="114"/>
      <c r="M54" s="106"/>
      <c r="N54" s="108"/>
    </row>
    <row r="55" ht="82.5" customHeight="1">
      <c r="A55" s="106"/>
      <c r="B55" s="108"/>
      <c r="C55" s="144"/>
      <c r="D55" s="253"/>
      <c r="F55" s="254"/>
      <c r="G55" s="114"/>
      <c r="H55" s="114"/>
      <c r="I55" s="114"/>
      <c r="J55" s="114"/>
      <c r="K55" s="114"/>
      <c r="L55" s="114"/>
      <c r="M55" s="106"/>
      <c r="N55" s="108"/>
    </row>
    <row r="56" ht="82.5" customHeight="1">
      <c r="A56" s="106"/>
      <c r="B56" s="108"/>
      <c r="C56" s="144"/>
      <c r="D56" s="253"/>
      <c r="F56" s="254"/>
      <c r="G56" s="114"/>
      <c r="H56" s="114"/>
      <c r="I56" s="114"/>
      <c r="J56" s="114"/>
      <c r="K56" s="114"/>
      <c r="L56" s="114"/>
      <c r="M56" s="106"/>
      <c r="N56" s="108"/>
    </row>
    <row r="57" ht="82.5" customHeight="1">
      <c r="A57" s="106"/>
      <c r="B57" s="108"/>
      <c r="C57" s="144"/>
      <c r="D57" s="253"/>
      <c r="F57" s="254"/>
      <c r="G57" s="114"/>
      <c r="H57" s="114"/>
      <c r="I57" s="114"/>
      <c r="J57" s="114"/>
      <c r="K57" s="114"/>
      <c r="L57" s="114"/>
      <c r="M57" s="106"/>
      <c r="N57" s="108"/>
    </row>
    <row r="58" ht="82.5" customHeight="1">
      <c r="A58" s="106"/>
      <c r="B58" s="108"/>
      <c r="C58" s="144"/>
      <c r="D58" s="253"/>
      <c r="F58" s="254"/>
      <c r="G58" s="114"/>
      <c r="H58" s="114"/>
      <c r="I58" s="114"/>
      <c r="J58" s="114"/>
      <c r="K58" s="114"/>
      <c r="L58" s="114"/>
      <c r="M58" s="106"/>
      <c r="N58" s="108"/>
    </row>
    <row r="59" ht="82.5" customHeight="1">
      <c r="A59" s="106"/>
      <c r="B59" s="108"/>
      <c r="C59" s="144"/>
      <c r="D59" s="253"/>
      <c r="F59" s="254"/>
      <c r="G59" s="114"/>
      <c r="H59" s="114"/>
      <c r="I59" s="114"/>
      <c r="J59" s="114"/>
      <c r="K59" s="114"/>
      <c r="L59" s="114"/>
      <c r="M59" s="106"/>
      <c r="N59" s="108"/>
    </row>
    <row r="60" ht="82.5" customHeight="1">
      <c r="A60" s="106"/>
      <c r="B60" s="108"/>
      <c r="C60" s="144"/>
      <c r="D60" s="255"/>
      <c r="E60" s="256"/>
      <c r="F60" s="257"/>
      <c r="G60" s="114"/>
      <c r="H60" s="157"/>
      <c r="I60" s="114"/>
      <c r="J60" s="157"/>
      <c r="K60" s="114"/>
      <c r="L60" s="157"/>
      <c r="M60" s="106"/>
      <c r="N60" s="108"/>
    </row>
    <row r="61" ht="82.5" customHeight="1">
      <c r="A61" s="106"/>
      <c r="B61" s="140"/>
      <c r="C61" s="194"/>
      <c r="D61" s="337"/>
      <c r="E61" s="337"/>
      <c r="F61" s="337"/>
      <c r="G61" s="337"/>
      <c r="H61" s="337"/>
      <c r="I61" s="337"/>
      <c r="J61" s="212"/>
      <c r="K61" s="212"/>
      <c r="L61" s="212"/>
      <c r="M61" s="175"/>
      <c r="N61" s="108"/>
    </row>
    <row r="62">
      <c r="A62" s="108"/>
      <c r="B62" s="108"/>
      <c r="C62" s="144"/>
      <c r="D62" s="137"/>
      <c r="E62" s="137"/>
      <c r="F62" s="137"/>
      <c r="G62" s="137"/>
      <c r="H62" s="137"/>
      <c r="I62" s="137"/>
      <c r="J62" s="205"/>
      <c r="K62" s="205"/>
      <c r="L62" s="205"/>
      <c r="M62" s="108"/>
      <c r="N62" s="108"/>
    </row>
    <row r="63">
      <c r="A63" s="108"/>
      <c r="B63" s="176" t="s">
        <v>485</v>
      </c>
      <c r="G63" s="137"/>
      <c r="H63" s="137"/>
      <c r="I63" s="166" t="s">
        <v>486</v>
      </c>
      <c r="N63" s="108"/>
    </row>
    <row r="64" ht="8.25" customHeight="1"/>
    <row r="65">
      <c r="A65" s="108"/>
      <c r="B65" s="178" t="s">
        <v>80</v>
      </c>
      <c r="N65" s="108"/>
    </row>
    <row r="66">
      <c r="A66" s="108"/>
      <c r="B66" s="178" t="s">
        <v>113</v>
      </c>
      <c r="N66" s="108"/>
    </row>
    <row r="67">
      <c r="A67" s="108"/>
      <c r="B67" s="108"/>
      <c r="C67" s="144"/>
      <c r="D67" s="137"/>
      <c r="E67" s="137"/>
      <c r="F67" s="137"/>
      <c r="G67" s="137"/>
      <c r="H67" s="137"/>
      <c r="I67" s="137"/>
      <c r="J67" s="205"/>
      <c r="K67" s="205"/>
      <c r="L67" s="205"/>
      <c r="M67" s="108"/>
      <c r="N67" s="108"/>
    </row>
    <row r="68" ht="15.75" customHeight="1">
      <c r="A68" s="108"/>
      <c r="B68" s="108"/>
      <c r="C68" s="144"/>
      <c r="D68" s="108"/>
      <c r="E68" s="108"/>
      <c r="F68" s="108"/>
      <c r="G68" s="108"/>
      <c r="H68" s="108"/>
      <c r="I68" s="108"/>
      <c r="J68" s="144"/>
      <c r="K68" s="144"/>
      <c r="L68" s="144"/>
      <c r="M68" s="108"/>
      <c r="N68" s="108"/>
    </row>
    <row r="69">
      <c r="A69" s="108"/>
      <c r="B69" s="108"/>
      <c r="C69" s="144"/>
      <c r="D69" s="108"/>
      <c r="E69" s="108"/>
      <c r="F69" s="108"/>
      <c r="G69" s="108"/>
      <c r="H69" s="108"/>
      <c r="I69" s="108"/>
      <c r="J69" s="144"/>
      <c r="K69" s="144"/>
      <c r="L69" s="144"/>
      <c r="M69" s="108"/>
      <c r="N69" s="108"/>
    </row>
    <row r="70">
      <c r="A70" s="108"/>
      <c r="B70" s="137"/>
      <c r="C70" s="205"/>
      <c r="D70" s="137"/>
      <c r="E70" s="137"/>
      <c r="F70" s="137"/>
      <c r="G70" s="108"/>
      <c r="H70" s="108"/>
      <c r="I70" s="137"/>
      <c r="J70" s="205"/>
      <c r="K70" s="205"/>
      <c r="L70" s="205"/>
      <c r="M70" s="137"/>
      <c r="N70" s="108"/>
    </row>
  </sheetData>
  <mergeCells count="40">
    <mergeCell ref="K43:K60"/>
    <mergeCell ref="L43:L60"/>
    <mergeCell ref="F35:F36"/>
    <mergeCell ref="H35:J36"/>
    <mergeCell ref="L35:L36"/>
    <mergeCell ref="H38:J38"/>
    <mergeCell ref="B40:M40"/>
    <mergeCell ref="D42:F42"/>
    <mergeCell ref="D43:F60"/>
    <mergeCell ref="B1:J1"/>
    <mergeCell ref="C4:D4"/>
    <mergeCell ref="C5:D5"/>
    <mergeCell ref="B7:F7"/>
    <mergeCell ref="L7:M7"/>
    <mergeCell ref="B8:M8"/>
    <mergeCell ref="L10:M10"/>
    <mergeCell ref="B10:F10"/>
    <mergeCell ref="B11:M11"/>
    <mergeCell ref="H15:J15"/>
    <mergeCell ref="H17:J17"/>
    <mergeCell ref="H19:J19"/>
    <mergeCell ref="H21:J21"/>
    <mergeCell ref="F23:F26"/>
    <mergeCell ref="H23:J26"/>
    <mergeCell ref="L23:L26"/>
    <mergeCell ref="F28:F29"/>
    <mergeCell ref="H28:J29"/>
    <mergeCell ref="L28:L29"/>
    <mergeCell ref="H31:J31"/>
    <mergeCell ref="H33:J33"/>
    <mergeCell ref="G43:G44"/>
    <mergeCell ref="H43:H44"/>
    <mergeCell ref="I43:I60"/>
    <mergeCell ref="J43:J60"/>
    <mergeCell ref="G47:G60"/>
    <mergeCell ref="H47:H60"/>
    <mergeCell ref="B63:F63"/>
    <mergeCell ref="I63:M63"/>
    <mergeCell ref="B65:M65"/>
    <mergeCell ref="B66:M66"/>
  </mergeCells>
  <hyperlinks>
    <hyperlink display="Lesson" location="C9LegalLesson" ref="C4"/>
    <hyperlink display="Example" location="C9LegalExample" ref="C5"/>
    <hyperlink display="Back to top ↑" location="C9LegalTitle" ref="L7"/>
    <hyperlink display="Back to top ↑" location="C9LegalTitle" ref="L10"/>
    <hyperlink display="← Chapter 9: Complex Prompts from Scratch - Chatbot" location="C9TemplateTitle" ref="B63"/>
    <hyperlink display="Chapter 9: Complex Prompts for Financial Services →" location="C9FinancialTitle" ref="I63"/>
    <hyperlink display="Back to top ↑" location="C9LegalTitle" ref="B65"/>
    <hyperlink display="Table of Contents" location="IntroTitle" ref="B66"/>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42.13"/>
    <col customWidth="1" min="7" max="7" width="4.0"/>
    <col customWidth="1" min="8" max="8" width="28.25"/>
    <col customWidth="1" min="9" max="9" width="4.0"/>
    <col customWidth="1" min="10" max="10" width="43.0"/>
    <col customWidth="1" min="11" max="11" width="4.0"/>
    <col customWidth="1" min="12" max="12" width="31.0"/>
    <col customWidth="1" min="13" max="13" width="3.0"/>
    <col customWidth="1" min="14" max="14" width="5.5"/>
  </cols>
  <sheetData>
    <row r="1" ht="32.25" customHeight="1">
      <c r="A1" s="134"/>
      <c r="B1" s="135" t="s">
        <v>487</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1" t="s">
        <v>76</v>
      </c>
      <c r="C3" s="108"/>
      <c r="D3" s="108"/>
      <c r="E3" s="108"/>
      <c r="F3" s="108"/>
      <c r="G3" s="108"/>
      <c r="H3" s="137"/>
      <c r="I3" s="137"/>
      <c r="J3" s="108"/>
      <c r="K3" s="108"/>
      <c r="L3" s="108"/>
      <c r="M3" s="108"/>
      <c r="N3" s="108"/>
    </row>
    <row r="4" ht="15.75" customHeight="1">
      <c r="A4" s="137"/>
      <c r="B4" s="108"/>
      <c r="C4" s="139" t="s">
        <v>488</v>
      </c>
      <c r="G4" s="108"/>
      <c r="H4" s="137"/>
      <c r="I4" s="108"/>
      <c r="J4" s="137"/>
      <c r="K4" s="137"/>
      <c r="L4" s="137"/>
      <c r="M4" s="108"/>
      <c r="N4" s="108"/>
    </row>
    <row r="5" ht="33.75" customHeight="1">
      <c r="A5" s="137"/>
      <c r="B5" s="140"/>
      <c r="C5" s="337"/>
      <c r="D5" s="337"/>
      <c r="E5" s="140"/>
      <c r="F5" s="140"/>
      <c r="G5" s="140"/>
      <c r="H5" s="337"/>
      <c r="I5" s="140"/>
      <c r="J5" s="337"/>
      <c r="K5" s="337"/>
      <c r="L5" s="337"/>
      <c r="M5" s="140"/>
      <c r="N5" s="108"/>
    </row>
    <row r="6" ht="33.75" customHeight="1">
      <c r="A6" s="106"/>
      <c r="B6" s="338" t="s">
        <v>403</v>
      </c>
      <c r="G6" s="108"/>
      <c r="H6" s="108"/>
      <c r="I6" s="108"/>
      <c r="J6" s="144"/>
      <c r="K6" s="144"/>
      <c r="L6" s="339" t="s">
        <v>80</v>
      </c>
      <c r="M6" s="12"/>
      <c r="N6" s="108"/>
    </row>
    <row r="7">
      <c r="A7" s="106"/>
      <c r="B7" s="340" t="s">
        <v>489</v>
      </c>
      <c r="M7" s="12"/>
      <c r="N7" s="108"/>
    </row>
    <row r="8">
      <c r="A8" s="106"/>
      <c r="B8" s="137"/>
      <c r="C8" s="205"/>
      <c r="D8" s="137"/>
      <c r="E8" s="137"/>
      <c r="F8" s="137"/>
      <c r="G8" s="137"/>
      <c r="H8" s="137"/>
      <c r="I8" s="137"/>
      <c r="J8" s="341" t="s">
        <v>370</v>
      </c>
      <c r="K8" s="205"/>
      <c r="L8" s="205"/>
      <c r="M8" s="146"/>
      <c r="N8" s="108"/>
    </row>
    <row r="9">
      <c r="A9" s="106"/>
      <c r="B9" s="108"/>
      <c r="C9" s="144"/>
      <c r="D9" s="342" t="s">
        <v>406</v>
      </c>
      <c r="E9" s="108"/>
      <c r="F9" s="342" t="s">
        <v>407</v>
      </c>
      <c r="G9" s="108"/>
      <c r="H9" s="343" t="s">
        <v>403</v>
      </c>
      <c r="I9" s="144"/>
      <c r="J9" s="144"/>
      <c r="K9" s="108"/>
      <c r="L9" s="344" t="s">
        <v>465</v>
      </c>
      <c r="M9" s="106"/>
      <c r="N9" s="108"/>
    </row>
    <row r="10" ht="3.75" customHeight="1">
      <c r="A10" s="106"/>
      <c r="B10" s="137"/>
      <c r="C10" s="205"/>
      <c r="D10" s="137"/>
      <c r="E10" s="137"/>
      <c r="F10" s="173"/>
      <c r="G10" s="108"/>
      <c r="H10" s="315"/>
      <c r="I10" s="315"/>
      <c r="J10" s="320"/>
      <c r="K10" s="137"/>
      <c r="L10" s="173"/>
      <c r="M10" s="146"/>
      <c r="N10" s="108"/>
    </row>
    <row r="11">
      <c r="A11" s="106"/>
      <c r="B11" s="137"/>
      <c r="C11" s="316" t="s">
        <v>272</v>
      </c>
      <c r="D11" s="317" t="s">
        <v>409</v>
      </c>
      <c r="E11" s="164"/>
      <c r="F11" s="202" t="s">
        <v>410</v>
      </c>
      <c r="G11" s="163"/>
      <c r="H11" s="318" t="s">
        <v>411</v>
      </c>
      <c r="I11" s="291"/>
      <c r="J11" s="157"/>
      <c r="K11" s="163"/>
      <c r="L11" s="319" t="s">
        <v>490</v>
      </c>
      <c r="M11" s="146"/>
      <c r="N11" s="108"/>
    </row>
    <row r="12" ht="15.75" customHeight="1">
      <c r="A12" s="106"/>
      <c r="B12" s="108"/>
      <c r="C12" s="137"/>
      <c r="D12" s="137"/>
      <c r="E12" s="137"/>
      <c r="F12" s="173"/>
      <c r="G12" s="108"/>
      <c r="H12" s="173"/>
      <c r="I12" s="173"/>
      <c r="J12" s="173"/>
      <c r="K12" s="108"/>
      <c r="L12" s="173"/>
      <c r="M12" s="106"/>
      <c r="N12" s="108"/>
    </row>
    <row r="13" ht="15.75" customHeight="1">
      <c r="A13" s="106"/>
      <c r="B13" s="108"/>
      <c r="C13" s="316" t="s">
        <v>274</v>
      </c>
      <c r="D13" s="317" t="s">
        <v>413</v>
      </c>
      <c r="E13" s="158"/>
      <c r="F13" s="202" t="s">
        <v>414</v>
      </c>
      <c r="G13" s="111"/>
      <c r="H13" s="345" t="s">
        <v>491</v>
      </c>
      <c r="I13" s="291"/>
      <c r="J13" s="157"/>
      <c r="K13" s="111"/>
      <c r="L13" s="319" t="s">
        <v>416</v>
      </c>
      <c r="M13" s="106"/>
      <c r="N13" s="108"/>
    </row>
    <row r="14" ht="15.75" customHeight="1">
      <c r="A14" s="106"/>
      <c r="B14" s="108"/>
      <c r="C14" s="137"/>
      <c r="D14" s="137"/>
      <c r="E14" s="137"/>
      <c r="F14" s="173"/>
      <c r="G14" s="108"/>
      <c r="H14" s="173"/>
      <c r="I14" s="173"/>
      <c r="J14" s="173"/>
      <c r="K14" s="108"/>
      <c r="L14" s="173"/>
      <c r="M14" s="106"/>
      <c r="N14" s="108"/>
    </row>
    <row r="15">
      <c r="A15" s="106"/>
      <c r="B15" s="108"/>
      <c r="C15" s="316" t="s">
        <v>276</v>
      </c>
      <c r="D15" s="317" t="s">
        <v>492</v>
      </c>
      <c r="E15" s="163"/>
      <c r="F15" s="202" t="s">
        <v>418</v>
      </c>
      <c r="G15" s="111"/>
      <c r="H15" s="346" t="s">
        <v>493</v>
      </c>
      <c r="I15" s="291"/>
      <c r="J15" s="157"/>
      <c r="K15" s="111"/>
      <c r="L15" s="319" t="s">
        <v>420</v>
      </c>
      <c r="M15" s="106"/>
      <c r="N15" s="108"/>
    </row>
    <row r="16" ht="15.75" customHeight="1">
      <c r="A16" s="106"/>
      <c r="B16" s="108"/>
      <c r="C16" s="137"/>
      <c r="D16" s="137"/>
      <c r="E16" s="137"/>
      <c r="F16" s="173"/>
      <c r="G16" s="108"/>
      <c r="H16" s="173"/>
      <c r="I16" s="173"/>
      <c r="J16" s="173"/>
      <c r="K16" s="108"/>
      <c r="L16" s="173"/>
      <c r="M16" s="106"/>
      <c r="N16" s="108"/>
    </row>
    <row r="17">
      <c r="A17" s="106"/>
      <c r="B17" s="108"/>
      <c r="C17" s="316" t="s">
        <v>320</v>
      </c>
      <c r="D17" s="317" t="s">
        <v>430</v>
      </c>
      <c r="E17" s="164"/>
      <c r="F17" s="202" t="s">
        <v>431</v>
      </c>
      <c r="G17" s="111"/>
      <c r="H17" s="345" t="s">
        <v>494</v>
      </c>
      <c r="I17" s="291"/>
      <c r="J17" s="157"/>
      <c r="K17" s="111"/>
      <c r="L17" s="319" t="s">
        <v>469</v>
      </c>
      <c r="M17" s="106"/>
      <c r="N17" s="108"/>
    </row>
    <row r="18" ht="15.75" customHeight="1">
      <c r="A18" s="106"/>
      <c r="B18" s="108"/>
      <c r="C18" s="144"/>
      <c r="D18" s="108"/>
      <c r="E18" s="108"/>
      <c r="F18" s="321"/>
      <c r="G18" s="108"/>
      <c r="H18" s="315"/>
      <c r="I18" s="315"/>
      <c r="J18" s="315"/>
      <c r="K18" s="108"/>
      <c r="L18" s="315"/>
      <c r="M18" s="106"/>
      <c r="N18" s="108"/>
    </row>
    <row r="19">
      <c r="A19" s="106"/>
      <c r="B19" s="108"/>
      <c r="C19" s="322" t="s">
        <v>425</v>
      </c>
      <c r="D19" s="317" t="s">
        <v>77</v>
      </c>
      <c r="E19" s="158"/>
      <c r="F19" s="202" t="s">
        <v>426</v>
      </c>
      <c r="G19" s="111"/>
      <c r="H19" s="345" t="s">
        <v>495</v>
      </c>
      <c r="I19" s="291"/>
      <c r="J19" s="157"/>
      <c r="K19" s="111"/>
      <c r="L19" s="319" t="s">
        <v>472</v>
      </c>
      <c r="M19" s="106"/>
      <c r="N19" s="108"/>
    </row>
    <row r="20">
      <c r="A20" s="106"/>
      <c r="B20" s="108"/>
      <c r="C20" s="144"/>
      <c r="D20" s="108"/>
      <c r="E20" s="108"/>
      <c r="F20" s="321"/>
      <c r="G20" s="108"/>
      <c r="H20" s="315"/>
      <c r="I20" s="315"/>
      <c r="J20" s="315"/>
      <c r="K20" s="108"/>
      <c r="L20" s="315"/>
      <c r="M20" s="106"/>
      <c r="N20" s="108"/>
    </row>
    <row r="21">
      <c r="A21" s="106"/>
      <c r="B21" s="108"/>
      <c r="C21" s="316" t="s">
        <v>429</v>
      </c>
      <c r="D21" s="317" t="s">
        <v>421</v>
      </c>
      <c r="E21" s="164"/>
      <c r="F21" s="202" t="s">
        <v>422</v>
      </c>
      <c r="G21" s="111"/>
      <c r="H21" s="345" t="s">
        <v>496</v>
      </c>
      <c r="I21" s="291"/>
      <c r="J21" s="157"/>
      <c r="K21" s="111"/>
      <c r="L21" s="319" t="s">
        <v>424</v>
      </c>
      <c r="M21" s="106"/>
      <c r="N21" s="108"/>
    </row>
    <row r="22" ht="15.75" customHeight="1">
      <c r="A22" s="106"/>
      <c r="B22" s="108"/>
      <c r="C22" s="144"/>
      <c r="D22" s="108"/>
      <c r="E22" s="108"/>
      <c r="F22" s="321"/>
      <c r="G22" s="108"/>
      <c r="H22" s="315"/>
      <c r="I22" s="315"/>
      <c r="J22" s="315"/>
      <c r="K22" s="108"/>
      <c r="L22" s="315"/>
      <c r="M22" s="106"/>
      <c r="N22" s="108"/>
    </row>
    <row r="23">
      <c r="A23" s="106"/>
      <c r="B23" s="108"/>
      <c r="C23" s="316" t="s">
        <v>434</v>
      </c>
      <c r="D23" s="317" t="s">
        <v>497</v>
      </c>
      <c r="E23" s="164"/>
      <c r="F23" s="202" t="s">
        <v>436</v>
      </c>
      <c r="G23" s="111"/>
      <c r="H23" s="345" t="s">
        <v>498</v>
      </c>
      <c r="I23" s="291"/>
      <c r="J23" s="157"/>
      <c r="K23" s="111"/>
      <c r="L23" s="324" t="s">
        <v>438</v>
      </c>
      <c r="M23" s="106"/>
      <c r="N23" s="108"/>
    </row>
    <row r="24" ht="15.75" customHeight="1">
      <c r="A24" s="106"/>
      <c r="B24" s="108"/>
      <c r="C24" s="144"/>
      <c r="D24" s="108"/>
      <c r="E24" s="108"/>
      <c r="F24" s="321"/>
      <c r="G24" s="108"/>
      <c r="H24" s="315"/>
      <c r="I24" s="315"/>
      <c r="J24" s="315"/>
      <c r="K24" s="108"/>
      <c r="L24" s="315"/>
      <c r="M24" s="106"/>
      <c r="N24" s="108"/>
    </row>
    <row r="25">
      <c r="A25" s="106"/>
      <c r="B25" s="108"/>
      <c r="C25" s="316" t="s">
        <v>439</v>
      </c>
      <c r="D25" s="317" t="s">
        <v>474</v>
      </c>
      <c r="E25" s="164"/>
      <c r="F25" s="202" t="s">
        <v>441</v>
      </c>
      <c r="G25" s="111"/>
      <c r="H25" s="346" t="s">
        <v>499</v>
      </c>
      <c r="I25" s="291"/>
      <c r="J25" s="157"/>
      <c r="K25" s="111"/>
      <c r="L25" s="319" t="s">
        <v>500</v>
      </c>
      <c r="M25" s="106"/>
      <c r="N25" s="108"/>
    </row>
    <row r="26" ht="15.75" customHeight="1">
      <c r="A26" s="106"/>
      <c r="B26" s="108"/>
      <c r="C26" s="144"/>
      <c r="D26" s="108"/>
      <c r="E26" s="108"/>
      <c r="F26" s="321"/>
      <c r="G26" s="108"/>
      <c r="H26" s="315"/>
      <c r="I26" s="315"/>
      <c r="J26" s="315"/>
      <c r="K26" s="108"/>
      <c r="L26" s="315"/>
      <c r="M26" s="106"/>
      <c r="N26" s="108"/>
    </row>
    <row r="27">
      <c r="A27" s="106"/>
      <c r="B27" s="108"/>
      <c r="C27" s="316" t="s">
        <v>444</v>
      </c>
      <c r="D27" s="317" t="s">
        <v>477</v>
      </c>
      <c r="E27" s="164"/>
      <c r="F27" s="202" t="s">
        <v>446</v>
      </c>
      <c r="G27" s="111"/>
      <c r="H27" s="346" t="s">
        <v>501</v>
      </c>
      <c r="I27" s="291"/>
      <c r="J27" s="157"/>
      <c r="K27" s="111"/>
      <c r="L27" s="319" t="s">
        <v>420</v>
      </c>
      <c r="M27" s="106"/>
      <c r="N27" s="108"/>
    </row>
    <row r="28" ht="15.75" customHeight="1">
      <c r="A28" s="106"/>
      <c r="B28" s="108"/>
      <c r="C28" s="144"/>
      <c r="D28" s="108"/>
      <c r="E28" s="108"/>
      <c r="F28" s="321"/>
      <c r="G28" s="108"/>
      <c r="H28" s="321"/>
      <c r="I28" s="315"/>
      <c r="J28" s="315"/>
      <c r="K28" s="108"/>
      <c r="L28" s="315"/>
      <c r="M28" s="106"/>
      <c r="N28" s="108"/>
    </row>
    <row r="29">
      <c r="A29" s="106"/>
      <c r="B29" s="108"/>
      <c r="C29" s="316" t="s">
        <v>449</v>
      </c>
      <c r="D29" s="317" t="s">
        <v>450</v>
      </c>
      <c r="E29" s="164"/>
      <c r="F29" s="202" t="s">
        <v>502</v>
      </c>
      <c r="G29" s="111"/>
      <c r="H29" s="346" t="s">
        <v>480</v>
      </c>
      <c r="I29" s="291"/>
      <c r="J29" s="157"/>
      <c r="K29" s="111"/>
      <c r="L29" s="319" t="s">
        <v>453</v>
      </c>
      <c r="M29" s="106"/>
      <c r="N29" s="108"/>
    </row>
    <row r="30" ht="15.75" customHeight="1">
      <c r="A30" s="106"/>
      <c r="B30" s="108"/>
      <c r="C30" s="144"/>
      <c r="D30" s="108"/>
      <c r="E30" s="108"/>
      <c r="F30" s="108"/>
      <c r="G30" s="108"/>
      <c r="H30" s="108"/>
      <c r="I30" s="108"/>
      <c r="J30" s="144"/>
      <c r="K30" s="144"/>
      <c r="L30" s="144"/>
      <c r="M30" s="106"/>
      <c r="N30" s="108"/>
    </row>
    <row r="31">
      <c r="A31" s="106"/>
      <c r="B31" s="159" t="s">
        <v>503</v>
      </c>
      <c r="M31" s="12"/>
      <c r="N31" s="108"/>
    </row>
    <row r="32" ht="15.75" customHeight="1">
      <c r="A32" s="106"/>
      <c r="B32" s="108"/>
      <c r="C32" s="144"/>
      <c r="D32" s="108"/>
      <c r="E32" s="108"/>
      <c r="F32" s="108"/>
      <c r="G32" s="108"/>
      <c r="H32" s="108"/>
      <c r="I32" s="108"/>
      <c r="J32" s="144"/>
      <c r="K32" s="144"/>
      <c r="L32" s="144"/>
      <c r="M32" s="106"/>
      <c r="N32" s="108"/>
    </row>
    <row r="33">
      <c r="A33" s="106"/>
      <c r="B33" s="108"/>
      <c r="C33" s="205"/>
      <c r="D33" s="312" t="s">
        <v>455</v>
      </c>
      <c r="G33" s="108"/>
      <c r="H33" s="196" t="s">
        <v>225</v>
      </c>
      <c r="I33" s="137"/>
      <c r="J33" s="196" t="s">
        <v>457</v>
      </c>
      <c r="K33" s="108"/>
      <c r="L33" s="196" t="s">
        <v>91</v>
      </c>
      <c r="M33" s="106"/>
      <c r="N33" s="108"/>
    </row>
    <row r="34" ht="22.5" customHeight="1">
      <c r="A34" s="106"/>
      <c r="B34" s="108"/>
      <c r="C34" s="327"/>
      <c r="D34" s="347" t="str">
        <f>concatenate(H11," ",H13,if(isblank(H15),"",char(10)&amp;char(10)&amp;H15),if(isblank(H17),"",char(10)&amp;char(10)&amp;H17),if(isblank(H19),"",char(10)&amp;char(10)&amp;H19),if(isblank(H21),"",char(10)&amp;char(10)&amp;H21),if(isblank(H23),"",char(10)&amp;char(10)&amp;H23),if(isblank(H25),"",char(10)&amp;char(10)&amp;H25),if(isblank(H27),"",char(10)&amp;char(10)&amp;H27),if(isblank(H29),"",char(10)&amp;H29))</f>
        <v>User: You are a professional financial assistant 
You should maintain friendly customer service tone
Here is several relevant tax_code. Use it to answer the question from the user
&lt;tax_code&gt;
{{TAX_CODE}}
&lt;/tax_code&gt;
When citing the financial or tax information in your answer, please use brackets containing the search index ID, followed by a period. Put these at the end of the sentence that's doing the citing. Examples of proper citation format:
&lt;examples&gt;
&lt;example&gt;
The freelance work must be reported as taxable income. [3].
&lt;/example&gt;
&lt;example&gt;
The tax must be paid on time. [5].
&lt;/example&gt;
&lt;/examples&gt;
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How do you respond to user's question?
Before answer, think about question then answer with &lt;relevant_quotes&gt; tags
Put your response in &lt;response&gt;&lt;/response&gt; tags.
Assistant: &lt;relevant_quotes&gt;</v>
      </c>
      <c r="E34" s="250"/>
      <c r="F34" s="251"/>
      <c r="G34" s="348" t="s">
        <v>191</v>
      </c>
      <c r="H34" s="349" t="s">
        <v>504</v>
      </c>
      <c r="I34" s="350" t="s">
        <v>193</v>
      </c>
      <c r="J34" s="160" t="str">
        <f>substitute(substitute(D34,"{{QUESTION}}",H34),"{{TAX_CODE}}",H38)</f>
        <v>User: You are a professional financial assistant 
You should maintain friendly customer service tone
Here is several relevant tax_code. Use it to answer the question from the user
&lt;tax_code&gt;
(a)General rule
If, in connection with the performance of services, property is transferred to any person other than the person for whom such services are performed, the excess of—
(1)the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(2)the amount (if any) paid for such property,
shall be included in the gross income of the person who performed such services in the first taxable year in which the rights of the person having the beneficial interest in such property are transferable or are not subject to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(b)Election to include in gross income in year of transfer
(1)In general
Any person who performs services in connection with which property is transferred to any person may elect to include in his gross income for the taxable year in which such property is transferred, the excess of—
(A)the fair market value of such property at the time of transfer (determined without regard to any restriction other than a restriction which by its terms will never lapse), over
(B)the amount (if any) paid for such property.
If such election is made, subsection (a) shall not apply with respect to the transfer of such property, and if such property is subsequently forfeited, no deduction shall be allowed in respect of such forfeiture.
(2)Election
An election under paragraph (1) with respect to any transfer of property shall be made in such manner as the Secretary prescribes and shall be made not later than 30 days after the date of such transfer. Such election may not be revoked except with the consent of the Secretary.
(c)Special rules
For purposes of this section—
(1)Substantial risk of forfeiture
The rights of a person in property are subject to a substantial risk of forfeiture if such person’s rights to full enjoyment of such property are conditioned upon the future performance of substantial services by any individual.
(2)Transferability of property
The rights of a person in property are transferable only if the rights in such property of any transferee are not subject to a substantial risk of forfeiture.
(3)Sales which may give rise to suit under section 16(b) of the Securities Exchange Act of 1934
So long as the sale of property at a profit could subject a person to suit under section 16(b) of the Securities Exchange Act of 1934, such person’s rights in such property are—
(A)subject to a substantial risk of forfeiture, and
(B)not transferable.
(4)For purposes of determining an individual’s basis in property transferred in connection with the performance of services, rules similar to the rules of section 72(w) shall apply.
(d)Certain restrictions which will never lapse
(1)Valuation
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and the burden of proof shall be on the Secretary with respect to such value.
(2)Cancellation
If, in the case of property subject to a restriction which by its terms will never lapse, the restriction is canceled, then, unless the taxpayer establishes—
(A)that such cancellation was not compensatory, and
(B)that the person, if any, who would be allowed a deduction if the cancellation were treated as compensatory, will treat the transaction as not compensatory, as evidenced in such manner as the Secretary shall prescribe by regulations,
the excess of the fair market value of the property (computed without regard to the restrictions) at the time of cancellation over the sum of—
(C)the fair market value of such property (computed by taking the restriction into account) immediately before the cancellation, and
(D)the amount, if any, paid for the cancellation,
shall be treated as compensation for the taxable year in which such cancellation occurs.
(e)Applicability of section
This section shall not apply to—
(1)a transaction to which section 421 applies,
(2)a transfer to or from a trust described in section 401(a) or a transfer under an annuity plan which meets the requirements of section 404(a)(2),
(3)the transfer of an option without a readily ascertainable fair market value,
(4)the transfer of property pursuant to the exercise of an option with a readily ascertainable fair market value at the date of grant, or
(5)group-term life insurance to which section 79 applies.
(f)Holding period
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(g)Certain exchanges
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(1)such exchange shall be disregarded for purposes of subsection (a), and
(2)the property received shall be treated as property to which subsection (a) applies.
(h)Deduction by employer
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(i)Qualified equity grants
(1)In general
For purposes of this subtitle—
(A)Timing of inclusion
If qualified stock is transferred to a qualified employee who makes an election with respect to such stock under this subsection, subsection (a) shall be applied by including the amount determined under such subsection with respect to such stock in income of the employee in the taxable year determined under subparagraph (B) in lieu of the taxable year described in subsection (a).
(B)Taxable year determined
The taxable year determined under this subparagraph is the taxable year of the employee which includes the earliest of—
(i)the first date such qualified stock becomes transferable (including, solely for purposes of this clause, becoming transferable to the employer),
(ii)the date the employee first becomes an excluded employee,
(iii)the first date on which any stock of the corporation which issued the qualified stock becomes readily tradable on an established securities market (as determined by the Secretary, but not including any market unless such market is recognized as an established securities market by the Secretary for purposes of a provision of this title other than this subsection),
(iv)the date that is 5 years after the first date the rights of the employee in such stock are transferable or are not subject to a substantial risk of forfeiture, whichever occurs earlier, or
(v)the date on which the employee revokes (at such time and in such manner as the Secretary provides) the election under this subsection with respect to such stock.
(2)Qualified stock
(A)In general
For purposes of this subsection, the term “qualified stock” means, with respect to any qualified employee, any stock in a corporation which is the employer of such employee, if—
(i)such stock is received—
(I)in connection with the exercise of an option, or
(II)in settlement of a restricted stock unit, and
(ii)such option or restricted stock unit was granted by the corporation—
(I)in connection with the performance of services as an employee, and
(II)during a calendar year in which such corporation was an eligible corporation.
(B)Limitation
The term “qualified stock” shall not include any stock if the employee may sell such stock to, or otherwise receive cash in lieu of stock from, the corporation at the time that the rights of the employee in such stock first become transferable or not subject to a substantial risk of forfeiture.
(C)Eligible corporation
For purposes of subparagraph (A)(ii)(II)—
(i)In general
The term “eligible corporation” means, with respect to any calendar year, any corporation if—
(I)no stock of such corporation (or any predecessor of such corporation) is readily tradable on an established securities market (as determined under paragraph (1)(B)(iii)) during any preceding calendar year, and
(II)such corporation has a written plan under which, in such calendar year, not less than 80 percent of all employees who provide services to such corporation in the United States (or any possession of the United States) are granted stock options, or are granted restricted stock units, with the same rights and privileges to receive qualified stock.
(ii)Same rights and privileges
For purposes of clause (i)(II)—
(I)except as provided in subclauses (II) and (III), the determination of rights and privileges with respect to stock shall be made in a similar manner as under section 423(b)(5),
(II)employees shall not fail to be treated as having the same rights and privileges to receive qualified stock solely because the number of shares available to all employees is not equal in amount, so long as the number of shares available to each employee is more than a de minimis amount, and
(III)rights and privileges with respect to the exercise of an option shall not be treated as the same as rights and privileges with respect to the settlement of a restricted stock unit.
(iii)Employee
For purposes of clause (i)(II), the term “employee” shall not include any employee described in section 4980E(d)(4) or any excluded employee.
(iv)Special rule for calendar years before 2018
In the case of any calendar year beginning before January 1, 2018, clause (i)(II) shall be applied without regard to whether the rights and privileges with respect to the qualified stock are the same.
(3)Qualified employee; excluded employee
For purposes of this subsection—
(A)In general
The term “qualified employee” means any individual who—
(i)is not an excluded employee, and
(ii)agrees in the election made under this subsection to meet such requirements as are determined by the Secretary to be necessary to ensure that the withholding requirements of the corporation under chapter 24 with respect to the qualified stock are met.
(B)Excluded employee
The term “excluded employee” means, with respect to any corporation, any individual—
(i)who is a 1-percent owner (within the meaning of section 416(i)(1)(B)(ii)) at any time during the calendar year or who was such a 1 percent owner at any time during the 10 preceding calendar years,
(ii)who is or has been at any prior time—
(I)the chief executive officer of such corporation or an individual acting in such a capacity, or
(II)the chief financial officer of such corporation or an individual acting in such a capacity,
(iii)who bears a relationship described in section 318(a)(1) to any individual described in subclause (I) or (II) of clause (ii), or
(iv)who is one of the 4 highest compensated officers of such corporation for the taxable year, or was one of the 4 highest compensated officers of such corporation for any of the 10 preceding taxable years, determined with respect to each such taxable year on the basis of the shareholder disclosure rules for compensation under the Securities Exchange Act of 1934 (as if such rules applied to such corporation).
(4)Election
(A)Time for making election
An election with respect to qualified stock shall be made under this subsection no later than 30 days after the first date the rights of the employee in such stock are transferable or are not subject to a substantial risk of forfeiture, whichever occurs earlier, and shall be made in a manner similar to the manner in which an election is made under subsection (b).
(B)Limitations
No election may be made under this section with respect to any qualified stock if—
(i)the qualified employee has made an election under subsection (b) with respect to such qualified stock,
(ii)any stock of the corporation which issued the qualified stock is readily tradable on an established securities market (as determined under paragraph (1)(B)(iii)) at any time before the election is made, or
(iii)such corporation purchased any of its outstanding stock in the calendar year preceding the calendar year which includes the first date the rights of the employee in such stock are transferable or are not subject to a substantial risk of forfeiture, unless—
(I)not less than 25 percent of the total dollar amount of the stock so purchased is deferral stock, and
(II)the determination of which individuals from whom deferral stock is purchased is made on a reasonable basis.
(C)Definitions and special rules related to limitation on stock redemptions
(i)Deferral stock
For purposes of this paragraph, the term “deferral stock” means stock with respect to which an election is in effect under this subsection.
(ii)Deferral stock with respect to any individual not taken into account if individual holds deferral stock with longer deferral period
Stock purchased by a corporation from any individual shall not be treated as deferral stock for purposes of subparagraph (B)(iii) if such individual (immediately after such purchase) holds any deferral stock with respect to which an election has been in effect under this subsection for a longer period than the election with respect to the stock so purchased.
(iii)Purchase of all outstanding deferral stock
The requirements of subclauses (I) and (II) of subparagraph (B)(iii) shall be treated as met if the stock so purchased includes all of the corporation’s outstanding deferral stock.
(iv)Reporting
Any corporation which has outstanding deferral stock as of the beginning of any calendar year and which purchases any of its outstanding stock during such calendar year shall include on its return of tax for the taxable year in which, or with which, such calendar year ends the total dollar amount of its outstanding stock so purchased during such calendar year and such other information as the Secretary requires for purposes of administering this paragraph.
(5)Controlled groups
For purposes of this subsection, all persons treated as a single employer under section 414(b) shall be treated as 1 corporation.
(6)Notice requirement
Any corporation which transfers qualified stock to a qualified employee shall, at the time that (or a reasonable period before) an amount attributable to such stock would (but for this subsection) first be includible in the gross income of such employee—
(A)certify to such employee that such stock is qualified stock, and
(B)notify such employee—
(i)that the employee may be eligible to elect to defer income on such stock under this subsection, and
(ii)that, if the employee makes such an election—
(I)the amount of income recognized at the end of the deferral period will be based on the value of the stock at the time at which the rights of the employee in such stock first become transferable or not subject to substantial risk of forfeiture, notwithstanding whether the value of the stock has declined during the deferral period,
(II)the amount of such income recognized at the end of the deferral period will be subject to withholding under section 3401(i) at the rate determined under section 3402(t), and
(III)the responsibilities of the employee (as determined by the Secretary under paragraph (3)(A)(ii)) with respect to such withholding.
(7)Restricted stock units
This section (other than this subsection), including any election under subsection (b), shall not apply to restricted stock units.
&lt;/tax_code&gt;
When citing the financial or tax information in your answer, please use brackets containing the search index ID, followed by a period. Put these at the end of the sentence that's doing the citing. Examples of proper citation format:
&lt;examples&gt;
&lt;example&gt;
The freelance work must be reported as taxable income. [3].
&lt;/example&gt;
&lt;example&gt;
The tax must be paid on time. [5].
&lt;/example&gt;
&lt;/examples&gt;
Write a clear, concise answer to this question:
&lt;question&gt;
How long do I have to make an 83b election?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How do you respond to user's question?
Before answer, think about question then answer with &lt;relevant_quotes&gt; tags
Put your response in &lt;response&gt;&lt;/response&gt; tags.
Assistant: &lt;relevant_quotes&gt;</v>
      </c>
      <c r="K34" s="334" t="s">
        <v>93</v>
      </c>
      <c r="L34" s="351" t="str">
        <f>claudeMessages(J34, 'Tutorial How-To'!$E$37,"temperature",0)</f>
        <v>According to the tax code provided, an election under Section 83(b) must be made "not later than 30 days after the date of such transfer" of the property. [tax_code (b)(2)]
&lt;/relevant_quotes&gt;
&lt;response&gt;
Based on the tax code provided, you have 30 days after the date the property is transferred to you to make an 83(b) election. The election must be made in the manner prescribed by the Secretary and cannot be revoked without the consent of the Secretary. [tax_code (b)(2)]
&lt;/response&gt;</v>
      </c>
      <c r="M34" s="106"/>
      <c r="N34" s="108"/>
    </row>
    <row r="35">
      <c r="A35" s="106"/>
      <c r="B35" s="137"/>
      <c r="C35" s="325"/>
      <c r="D35" s="253"/>
      <c r="F35" s="254"/>
      <c r="G35" s="114"/>
      <c r="H35" s="157"/>
      <c r="I35" s="114"/>
      <c r="J35" s="114"/>
      <c r="K35" s="114"/>
      <c r="L35" s="114"/>
      <c r="M35" s="146"/>
      <c r="N35" s="108"/>
    </row>
    <row r="36" ht="8.25" customHeight="1">
      <c r="A36" s="106"/>
      <c r="B36" s="108"/>
      <c r="C36" s="327"/>
      <c r="D36" s="253"/>
      <c r="F36" s="254"/>
      <c r="G36" s="108"/>
      <c r="H36" s="108"/>
      <c r="I36" s="114"/>
      <c r="J36" s="114"/>
      <c r="K36" s="114"/>
      <c r="L36" s="114"/>
      <c r="M36" s="106"/>
      <c r="N36" s="108"/>
    </row>
    <row r="37">
      <c r="A37" s="106"/>
      <c r="B37" s="108"/>
      <c r="C37" s="325"/>
      <c r="D37" s="253"/>
      <c r="F37" s="254"/>
      <c r="G37" s="108"/>
      <c r="H37" s="196" t="s">
        <v>505</v>
      </c>
      <c r="I37" s="114"/>
      <c r="J37" s="114"/>
      <c r="K37" s="114"/>
      <c r="L37" s="114"/>
      <c r="M37" s="106"/>
      <c r="N37" s="108"/>
    </row>
    <row r="38" ht="65.25" customHeight="1">
      <c r="A38" s="106"/>
      <c r="B38" s="108"/>
      <c r="C38" s="325"/>
      <c r="D38" s="253"/>
      <c r="F38" s="254"/>
      <c r="G38" s="201" t="s">
        <v>191</v>
      </c>
      <c r="H38" s="207" t="s">
        <v>506</v>
      </c>
      <c r="I38" s="114"/>
      <c r="J38" s="114"/>
      <c r="K38" s="114"/>
      <c r="L38" s="114"/>
      <c r="M38" s="106"/>
      <c r="N38" s="108"/>
    </row>
    <row r="39" ht="65.25" customHeight="1">
      <c r="A39" s="106"/>
      <c r="B39" s="108"/>
      <c r="C39" s="325"/>
      <c r="D39" s="253"/>
      <c r="F39" s="254"/>
      <c r="G39" s="114"/>
      <c r="H39" s="114"/>
      <c r="I39" s="114"/>
      <c r="J39" s="114"/>
      <c r="K39" s="114"/>
      <c r="L39" s="114"/>
      <c r="M39" s="106"/>
      <c r="N39" s="108"/>
    </row>
    <row r="40" ht="8.25" customHeight="1">
      <c r="A40" s="106"/>
      <c r="B40" s="108"/>
      <c r="C40" s="327"/>
      <c r="D40" s="253"/>
      <c r="F40" s="254"/>
      <c r="G40" s="114"/>
      <c r="H40" s="114"/>
      <c r="I40" s="114"/>
      <c r="J40" s="114"/>
      <c r="K40" s="114"/>
      <c r="L40" s="114"/>
      <c r="M40" s="106"/>
      <c r="N40" s="108"/>
    </row>
    <row r="41" ht="15.75" customHeight="1">
      <c r="A41" s="106"/>
      <c r="B41" s="108"/>
      <c r="C41" s="327"/>
      <c r="D41" s="253"/>
      <c r="F41" s="254"/>
      <c r="G41" s="114"/>
      <c r="H41" s="114"/>
      <c r="I41" s="114"/>
      <c r="J41" s="114"/>
      <c r="K41" s="114"/>
      <c r="L41" s="114"/>
      <c r="M41" s="106"/>
      <c r="N41" s="108"/>
    </row>
    <row r="42" ht="81.75" customHeight="1">
      <c r="A42" s="106"/>
      <c r="B42" s="108"/>
      <c r="C42" s="327"/>
      <c r="D42" s="255"/>
      <c r="E42" s="256"/>
      <c r="F42" s="257"/>
      <c r="G42" s="114"/>
      <c r="H42" s="157"/>
      <c r="I42" s="114"/>
      <c r="J42" s="157"/>
      <c r="K42" s="114"/>
      <c r="L42" s="157"/>
      <c r="M42" s="106"/>
      <c r="N42" s="108"/>
    </row>
    <row r="43">
      <c r="A43" s="106"/>
      <c r="B43" s="140"/>
      <c r="C43" s="194"/>
      <c r="D43" s="337"/>
      <c r="E43" s="337"/>
      <c r="F43" s="337"/>
      <c r="G43" s="337"/>
      <c r="H43" s="337"/>
      <c r="I43" s="337"/>
      <c r="J43" s="212"/>
      <c r="K43" s="212"/>
      <c r="L43" s="212"/>
      <c r="M43" s="175"/>
      <c r="N43" s="108"/>
    </row>
    <row r="44">
      <c r="A44" s="108"/>
      <c r="B44" s="108"/>
      <c r="C44" s="144"/>
      <c r="D44" s="137"/>
      <c r="E44" s="137"/>
      <c r="F44" s="137"/>
      <c r="G44" s="137"/>
      <c r="H44" s="137"/>
      <c r="I44" s="137"/>
      <c r="J44" s="205"/>
      <c r="K44" s="205"/>
      <c r="L44" s="205"/>
      <c r="M44" s="108"/>
      <c r="N44" s="108"/>
    </row>
    <row r="45">
      <c r="A45" s="108"/>
      <c r="B45" s="176" t="s">
        <v>507</v>
      </c>
      <c r="G45" s="137"/>
      <c r="H45" s="137"/>
      <c r="I45" s="166" t="s">
        <v>508</v>
      </c>
      <c r="N45" s="108"/>
    </row>
    <row r="46" ht="8.25" customHeight="1">
      <c r="A46" s="108"/>
      <c r="B46" s="108"/>
      <c r="C46" s="144"/>
      <c r="D46" s="108"/>
      <c r="E46" s="108"/>
      <c r="F46" s="108"/>
      <c r="G46" s="108"/>
      <c r="H46" s="108"/>
      <c r="I46" s="108"/>
      <c r="J46" s="144"/>
      <c r="K46" s="144"/>
      <c r="L46" s="144"/>
      <c r="M46" s="108"/>
      <c r="N46" s="108"/>
    </row>
    <row r="47">
      <c r="A47" s="108"/>
      <c r="B47" s="178" t="s">
        <v>80</v>
      </c>
      <c r="N47" s="108"/>
    </row>
    <row r="48">
      <c r="A48" s="108"/>
      <c r="B48" s="178" t="s">
        <v>113</v>
      </c>
      <c r="N48" s="108"/>
    </row>
    <row r="49">
      <c r="A49" s="108"/>
      <c r="B49" s="137"/>
      <c r="C49" s="205"/>
      <c r="D49" s="137"/>
      <c r="E49" s="137"/>
      <c r="F49" s="137"/>
      <c r="G49" s="108"/>
      <c r="H49" s="108"/>
      <c r="I49" s="137"/>
      <c r="J49" s="205"/>
      <c r="K49" s="205"/>
      <c r="L49" s="205"/>
      <c r="M49" s="137"/>
      <c r="N49" s="108"/>
    </row>
    <row r="50">
      <c r="A50" s="108"/>
      <c r="B50" s="137"/>
      <c r="C50" s="205"/>
      <c r="D50" s="137"/>
      <c r="E50" s="137"/>
      <c r="F50" s="137"/>
      <c r="G50" s="137"/>
      <c r="H50" s="137"/>
      <c r="I50" s="137"/>
      <c r="J50" s="205"/>
      <c r="K50" s="205"/>
      <c r="L50" s="205"/>
      <c r="M50" s="137"/>
      <c r="N50" s="108"/>
    </row>
    <row r="51">
      <c r="A51" s="108"/>
      <c r="B51" s="137"/>
      <c r="C51" s="205"/>
      <c r="D51" s="137"/>
      <c r="E51" s="137"/>
      <c r="F51" s="137"/>
      <c r="G51" s="137"/>
      <c r="H51" s="137"/>
      <c r="I51" s="137"/>
      <c r="J51" s="205"/>
      <c r="K51" s="205"/>
      <c r="L51" s="205"/>
      <c r="M51" s="137"/>
      <c r="N51" s="108"/>
    </row>
    <row r="52">
      <c r="C52" s="352"/>
      <c r="H52" s="97"/>
      <c r="J52" s="71"/>
      <c r="K52" s="71"/>
      <c r="L52" s="71"/>
    </row>
  </sheetData>
  <mergeCells count="30">
    <mergeCell ref="B1:J1"/>
    <mergeCell ref="C4:F4"/>
    <mergeCell ref="B6:F6"/>
    <mergeCell ref="L6:M6"/>
    <mergeCell ref="B7:M7"/>
    <mergeCell ref="H11:J11"/>
    <mergeCell ref="H13:J13"/>
    <mergeCell ref="H15:J15"/>
    <mergeCell ref="H17:J17"/>
    <mergeCell ref="H19:J19"/>
    <mergeCell ref="H21:J21"/>
    <mergeCell ref="H23:J23"/>
    <mergeCell ref="H25:J25"/>
    <mergeCell ref="H27:J27"/>
    <mergeCell ref="J34:J42"/>
    <mergeCell ref="K34:K42"/>
    <mergeCell ref="G34:G35"/>
    <mergeCell ref="G38:G42"/>
    <mergeCell ref="D34:F42"/>
    <mergeCell ref="B45:F45"/>
    <mergeCell ref="I45:M45"/>
    <mergeCell ref="B47:M47"/>
    <mergeCell ref="B48:M48"/>
    <mergeCell ref="H29:J29"/>
    <mergeCell ref="B31:M31"/>
    <mergeCell ref="D33:F33"/>
    <mergeCell ref="H34:H35"/>
    <mergeCell ref="I34:I42"/>
    <mergeCell ref="L34:L42"/>
    <mergeCell ref="H38:H42"/>
  </mergeCells>
  <hyperlinks>
    <hyperlink display="Exercise 9.1 - Financial Chatbot" location="C9FinancialExample" ref="C4"/>
    <hyperlink display="Back to top ↑" location="C9FinancialTitle" ref="L6"/>
    <hyperlink display="← Chapter 9: Complex Prompts for Legal Services" location="C9LegalTitle" ref="B45"/>
    <hyperlink display="Chapter 9 Exercises: Complex Prompts for Coding →" location="C9CodingTitle" ref="I45"/>
    <hyperlink display="Back to top ↑" location="C9FinancialTitle" ref="B47"/>
    <hyperlink display="Table of Contents" location="IntroTitle" ref="B48"/>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42.13"/>
    <col customWidth="1" min="7" max="7" width="4.0"/>
    <col customWidth="1" min="8" max="8" width="29.75"/>
    <col customWidth="1" min="9" max="9" width="4.0"/>
    <col customWidth="1" min="10" max="10" width="34.88"/>
    <col customWidth="1" min="11" max="11" width="4.0"/>
    <col customWidth="1" min="12" max="12" width="47.5"/>
    <col customWidth="1" min="13" max="13" width="3.0"/>
    <col customWidth="1" min="14" max="14" width="5.5"/>
  </cols>
  <sheetData>
    <row r="1" ht="32.25" customHeight="1">
      <c r="A1" s="134"/>
      <c r="B1" s="310" t="s">
        <v>509</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1" t="s">
        <v>76</v>
      </c>
      <c r="C3" s="108"/>
      <c r="D3" s="108"/>
      <c r="E3" s="108"/>
      <c r="F3" s="108"/>
      <c r="G3" s="108"/>
      <c r="H3" s="137"/>
      <c r="I3" s="137"/>
      <c r="J3" s="108"/>
      <c r="K3" s="108"/>
      <c r="L3" s="108"/>
      <c r="M3" s="108"/>
      <c r="N3" s="108"/>
    </row>
    <row r="4" ht="15.75" customHeight="1">
      <c r="A4" s="137"/>
      <c r="B4" s="108"/>
      <c r="C4" s="139" t="s">
        <v>510</v>
      </c>
      <c r="E4" s="108"/>
      <c r="F4" s="108"/>
      <c r="G4" s="108"/>
      <c r="H4" s="137"/>
      <c r="I4" s="108"/>
      <c r="J4" s="137"/>
      <c r="K4" s="137"/>
      <c r="L4" s="137"/>
      <c r="M4" s="108"/>
      <c r="N4" s="108"/>
    </row>
    <row r="5" ht="33.75" customHeight="1">
      <c r="A5" s="108"/>
      <c r="B5" s="140"/>
      <c r="C5" s="140"/>
      <c r="D5" s="140"/>
      <c r="E5" s="140"/>
      <c r="F5" s="140"/>
      <c r="G5" s="140"/>
      <c r="H5" s="140"/>
      <c r="I5" s="140"/>
      <c r="J5" s="140"/>
      <c r="K5" s="140"/>
      <c r="L5" s="140"/>
      <c r="M5" s="140"/>
      <c r="N5" s="108"/>
    </row>
    <row r="6" ht="29.25" customHeight="1">
      <c r="A6" s="106"/>
      <c r="B6" s="142" t="s">
        <v>510</v>
      </c>
      <c r="G6" s="108"/>
      <c r="H6" s="108"/>
      <c r="I6" s="108"/>
      <c r="J6" s="205"/>
      <c r="K6" s="205"/>
      <c r="L6" s="143" t="s">
        <v>80</v>
      </c>
      <c r="M6" s="12"/>
      <c r="N6" s="108"/>
    </row>
    <row r="7">
      <c r="A7" s="106"/>
      <c r="B7" s="274" t="s">
        <v>511</v>
      </c>
      <c r="M7" s="12"/>
      <c r="N7" s="108"/>
    </row>
    <row r="8" ht="8.25" customHeight="1">
      <c r="A8" s="106"/>
      <c r="B8" s="137"/>
      <c r="C8" s="144"/>
      <c r="D8" s="108"/>
      <c r="E8" s="108"/>
      <c r="F8" s="108"/>
      <c r="G8" s="108"/>
      <c r="H8" s="108"/>
      <c r="I8" s="108"/>
      <c r="J8" s="144"/>
      <c r="K8" s="144"/>
      <c r="L8" s="144"/>
      <c r="M8" s="106"/>
      <c r="N8" s="108"/>
    </row>
    <row r="9" ht="15.75" customHeight="1">
      <c r="A9" s="106"/>
      <c r="B9" s="108"/>
      <c r="C9" s="205"/>
      <c r="D9" s="312" t="s">
        <v>406</v>
      </c>
      <c r="E9" s="108"/>
      <c r="F9" s="312" t="s">
        <v>407</v>
      </c>
      <c r="G9" s="108"/>
      <c r="H9" s="313" t="s">
        <v>403</v>
      </c>
      <c r="I9" s="205"/>
      <c r="J9" s="205"/>
      <c r="K9" s="108"/>
      <c r="L9" s="314" t="s">
        <v>465</v>
      </c>
      <c r="M9" s="106"/>
      <c r="N9" s="108"/>
    </row>
    <row r="10" ht="3.75" customHeight="1">
      <c r="A10" s="106"/>
      <c r="B10" s="108"/>
      <c r="C10" s="205"/>
      <c r="D10" s="137"/>
      <c r="E10" s="108"/>
      <c r="F10" s="173"/>
      <c r="G10" s="108"/>
      <c r="H10" s="315"/>
      <c r="I10" s="315"/>
      <c r="J10" s="315"/>
      <c r="K10" s="108"/>
      <c r="L10" s="173"/>
      <c r="M10" s="106"/>
      <c r="N10" s="108"/>
    </row>
    <row r="11">
      <c r="A11" s="106"/>
      <c r="B11" s="108"/>
      <c r="C11" s="316" t="s">
        <v>272</v>
      </c>
      <c r="D11" s="317" t="s">
        <v>409</v>
      </c>
      <c r="E11" s="163"/>
      <c r="F11" s="202" t="s">
        <v>410</v>
      </c>
      <c r="G11" s="111"/>
      <c r="H11" s="318" t="s">
        <v>411</v>
      </c>
      <c r="I11" s="291"/>
      <c r="J11" s="157"/>
      <c r="K11" s="111"/>
      <c r="L11" s="319" t="s">
        <v>512</v>
      </c>
      <c r="M11" s="106"/>
      <c r="N11" s="108"/>
    </row>
    <row r="12" ht="15.75" customHeight="1">
      <c r="A12" s="106"/>
      <c r="B12" s="108"/>
      <c r="C12" s="205"/>
      <c r="D12" s="205"/>
      <c r="E12" s="137"/>
      <c r="F12" s="320"/>
      <c r="G12" s="108"/>
      <c r="H12" s="320"/>
      <c r="I12" s="320"/>
      <c r="J12" s="320"/>
      <c r="K12" s="108"/>
      <c r="L12" s="320"/>
      <c r="M12" s="106"/>
      <c r="N12" s="108"/>
    </row>
    <row r="13">
      <c r="A13" s="106"/>
      <c r="B13" s="108"/>
      <c r="C13" s="316" t="s">
        <v>274</v>
      </c>
      <c r="D13" s="317" t="s">
        <v>413</v>
      </c>
      <c r="E13" s="163"/>
      <c r="F13" s="202" t="s">
        <v>414</v>
      </c>
      <c r="G13" s="111"/>
      <c r="H13" s="345" t="s">
        <v>513</v>
      </c>
      <c r="I13" s="291"/>
      <c r="J13" s="157"/>
      <c r="K13" s="111"/>
      <c r="L13" s="319" t="s">
        <v>416</v>
      </c>
      <c r="M13" s="106"/>
      <c r="N13" s="108"/>
    </row>
    <row r="14" ht="15.75" customHeight="1">
      <c r="A14" s="106"/>
      <c r="B14" s="108"/>
      <c r="C14" s="108"/>
      <c r="D14" s="108"/>
      <c r="E14" s="108"/>
      <c r="F14" s="321"/>
      <c r="G14" s="108"/>
      <c r="H14" s="321"/>
      <c r="I14" s="321"/>
      <c r="J14" s="321"/>
      <c r="K14" s="108"/>
      <c r="L14" s="321"/>
      <c r="M14" s="106"/>
      <c r="N14" s="108"/>
    </row>
    <row r="15">
      <c r="A15" s="106"/>
      <c r="B15" s="108"/>
      <c r="C15" s="322" t="s">
        <v>276</v>
      </c>
      <c r="D15" s="317" t="s">
        <v>492</v>
      </c>
      <c r="E15" s="111"/>
      <c r="F15" s="202" t="s">
        <v>418</v>
      </c>
      <c r="G15" s="111"/>
      <c r="H15" s="345" t="s">
        <v>514</v>
      </c>
      <c r="I15" s="291"/>
      <c r="J15" s="157"/>
      <c r="K15" s="111"/>
      <c r="L15" s="319" t="s">
        <v>420</v>
      </c>
      <c r="M15" s="106"/>
      <c r="N15" s="108"/>
    </row>
    <row r="16" ht="15.75" customHeight="1">
      <c r="A16" s="106"/>
      <c r="B16" s="108"/>
      <c r="C16" s="108"/>
      <c r="D16" s="108"/>
      <c r="E16" s="108"/>
      <c r="F16" s="321"/>
      <c r="G16" s="108"/>
      <c r="H16" s="321"/>
      <c r="I16" s="321"/>
      <c r="J16" s="321"/>
      <c r="K16" s="108"/>
      <c r="L16" s="321"/>
      <c r="M16" s="106"/>
      <c r="N16" s="108"/>
    </row>
    <row r="17" ht="101.25" customHeight="1">
      <c r="A17" s="106"/>
      <c r="B17" s="108"/>
      <c r="C17" s="316" t="s">
        <v>320</v>
      </c>
      <c r="D17" s="317" t="s">
        <v>421</v>
      </c>
      <c r="E17" s="163"/>
      <c r="F17" s="207" t="s">
        <v>515</v>
      </c>
      <c r="G17" s="111"/>
      <c r="H17" s="353" t="s">
        <v>516</v>
      </c>
      <c r="J17" s="114"/>
      <c r="K17" s="111"/>
      <c r="L17" s="331" t="s">
        <v>424</v>
      </c>
      <c r="M17" s="106"/>
      <c r="N17" s="108"/>
    </row>
    <row r="18" ht="101.25" customHeight="1">
      <c r="A18" s="106"/>
      <c r="B18" s="108"/>
      <c r="C18" s="205"/>
      <c r="D18" s="205"/>
      <c r="E18" s="163"/>
      <c r="F18" s="157"/>
      <c r="G18" s="111"/>
      <c r="H18" s="291"/>
      <c r="I18" s="291"/>
      <c r="J18" s="157"/>
      <c r="K18" s="111"/>
      <c r="L18" s="157"/>
      <c r="M18" s="106"/>
      <c r="N18" s="108"/>
    </row>
    <row r="19" ht="15.75" customHeight="1">
      <c r="A19" s="106"/>
      <c r="B19" s="108"/>
      <c r="C19" s="144"/>
      <c r="D19" s="108"/>
      <c r="E19" s="108"/>
      <c r="F19" s="321"/>
      <c r="G19" s="108"/>
      <c r="H19" s="315"/>
      <c r="I19" s="315"/>
      <c r="J19" s="315"/>
      <c r="K19" s="108"/>
      <c r="L19" s="315"/>
      <c r="M19" s="106"/>
      <c r="N19" s="108"/>
    </row>
    <row r="20" ht="98.25" customHeight="1">
      <c r="A20" s="106"/>
      <c r="B20" s="108"/>
      <c r="C20" s="316" t="s">
        <v>425</v>
      </c>
      <c r="D20" s="317" t="s">
        <v>77</v>
      </c>
      <c r="E20" s="163"/>
      <c r="F20" s="207" t="s">
        <v>426</v>
      </c>
      <c r="G20" s="111"/>
      <c r="H20" s="353" t="s">
        <v>517</v>
      </c>
      <c r="J20" s="114"/>
      <c r="K20" s="111"/>
      <c r="L20" s="331" t="s">
        <v>472</v>
      </c>
      <c r="M20" s="106"/>
      <c r="N20" s="108"/>
    </row>
    <row r="21" ht="98.25" customHeight="1">
      <c r="A21" s="106"/>
      <c r="B21" s="108"/>
      <c r="C21" s="205"/>
      <c r="D21" s="205"/>
      <c r="E21" s="163"/>
      <c r="F21" s="114"/>
      <c r="G21" s="111"/>
      <c r="J21" s="114"/>
      <c r="K21" s="111"/>
      <c r="L21" s="114"/>
      <c r="M21" s="106"/>
      <c r="N21" s="108"/>
    </row>
    <row r="22" ht="98.25" customHeight="1">
      <c r="A22" s="106"/>
      <c r="B22" s="108"/>
      <c r="C22" s="205"/>
      <c r="D22" s="205"/>
      <c r="E22" s="163"/>
      <c r="F22" s="157"/>
      <c r="G22" s="111"/>
      <c r="H22" s="291"/>
      <c r="I22" s="291"/>
      <c r="J22" s="157"/>
      <c r="K22" s="111"/>
      <c r="L22" s="157"/>
      <c r="M22" s="106"/>
      <c r="N22" s="108"/>
    </row>
    <row r="23" ht="15.75" customHeight="1">
      <c r="A23" s="106"/>
      <c r="B23" s="108"/>
      <c r="C23" s="144"/>
      <c r="D23" s="108"/>
      <c r="E23" s="108"/>
      <c r="F23" s="321"/>
      <c r="G23" s="108"/>
      <c r="H23" s="315"/>
      <c r="I23" s="315"/>
      <c r="J23" s="315"/>
      <c r="K23" s="108"/>
      <c r="L23" s="315"/>
      <c r="M23" s="106"/>
      <c r="N23" s="108"/>
    </row>
    <row r="24">
      <c r="A24" s="106"/>
      <c r="B24" s="108"/>
      <c r="C24" s="316" t="s">
        <v>429</v>
      </c>
      <c r="D24" s="317" t="s">
        <v>430</v>
      </c>
      <c r="E24" s="163"/>
      <c r="F24" s="202" t="s">
        <v>518</v>
      </c>
      <c r="G24" s="111"/>
      <c r="H24" s="345" t="s">
        <v>519</v>
      </c>
      <c r="I24" s="291"/>
      <c r="J24" s="157"/>
      <c r="K24" s="111"/>
      <c r="L24" s="319" t="s">
        <v>520</v>
      </c>
      <c r="M24" s="106"/>
      <c r="N24" s="108"/>
    </row>
    <row r="25" ht="15.75" customHeight="1">
      <c r="A25" s="106"/>
      <c r="B25" s="108"/>
      <c r="C25" s="144"/>
      <c r="D25" s="108"/>
      <c r="E25" s="108"/>
      <c r="F25" s="321"/>
      <c r="G25" s="108"/>
      <c r="H25" s="315"/>
      <c r="I25" s="315"/>
      <c r="J25" s="315"/>
      <c r="K25" s="108"/>
      <c r="L25" s="315"/>
      <c r="M25" s="106"/>
      <c r="N25" s="108"/>
    </row>
    <row r="26">
      <c r="A26" s="106"/>
      <c r="B26" s="108"/>
      <c r="C26" s="316" t="s">
        <v>434</v>
      </c>
      <c r="D26" s="317" t="s">
        <v>435</v>
      </c>
      <c r="E26" s="163"/>
      <c r="F26" s="202" t="s">
        <v>436</v>
      </c>
      <c r="G26" s="111"/>
      <c r="H26" s="345" t="s">
        <v>521</v>
      </c>
      <c r="I26" s="291"/>
      <c r="J26" s="157"/>
      <c r="K26" s="111"/>
      <c r="L26" s="324" t="s">
        <v>438</v>
      </c>
      <c r="M26" s="106"/>
      <c r="N26" s="108"/>
    </row>
    <row r="27" ht="15.75" customHeight="1">
      <c r="A27" s="106"/>
      <c r="B27" s="108"/>
      <c r="C27" s="144"/>
      <c r="D27" s="108"/>
      <c r="E27" s="108"/>
      <c r="F27" s="321"/>
      <c r="G27" s="108"/>
      <c r="H27" s="315"/>
      <c r="I27" s="315"/>
      <c r="J27" s="315"/>
      <c r="K27" s="108"/>
      <c r="L27" s="315"/>
      <c r="M27" s="106"/>
      <c r="N27" s="108"/>
    </row>
    <row r="28">
      <c r="A28" s="106"/>
      <c r="B28" s="108"/>
      <c r="C28" s="316" t="s">
        <v>439</v>
      </c>
      <c r="D28" s="317" t="s">
        <v>474</v>
      </c>
      <c r="E28" s="163"/>
      <c r="F28" s="202" t="s">
        <v>441</v>
      </c>
      <c r="G28" s="111"/>
      <c r="H28" s="346" t="s">
        <v>522</v>
      </c>
      <c r="I28" s="291"/>
      <c r="J28" s="157"/>
      <c r="K28" s="111"/>
      <c r="L28" s="319" t="s">
        <v>523</v>
      </c>
      <c r="M28" s="106"/>
      <c r="N28" s="108"/>
    </row>
    <row r="29" ht="15.75" customHeight="1">
      <c r="A29" s="106"/>
      <c r="B29" s="108"/>
      <c r="C29" s="144"/>
      <c r="D29" s="108"/>
      <c r="E29" s="108"/>
      <c r="F29" s="321"/>
      <c r="G29" s="108"/>
      <c r="H29" s="315"/>
      <c r="I29" s="315"/>
      <c r="J29" s="315"/>
      <c r="K29" s="108"/>
      <c r="L29" s="315"/>
      <c r="M29" s="106"/>
      <c r="N29" s="108"/>
    </row>
    <row r="30" ht="84.0" customHeight="1">
      <c r="A30" s="106"/>
      <c r="B30" s="108"/>
      <c r="C30" s="316" t="s">
        <v>444</v>
      </c>
      <c r="D30" s="317" t="s">
        <v>477</v>
      </c>
      <c r="E30" s="163"/>
      <c r="F30" s="207" t="s">
        <v>446</v>
      </c>
      <c r="G30" s="111"/>
      <c r="H30" s="353" t="s">
        <v>524</v>
      </c>
      <c r="J30" s="114"/>
      <c r="K30" s="111"/>
      <c r="L30" s="331" t="s">
        <v>525</v>
      </c>
      <c r="M30" s="106"/>
      <c r="N30" s="108"/>
    </row>
    <row r="31" ht="84.0" customHeight="1">
      <c r="A31" s="106"/>
      <c r="B31" s="108"/>
      <c r="C31" s="205"/>
      <c r="D31" s="205"/>
      <c r="E31" s="163"/>
      <c r="F31" s="157"/>
      <c r="G31" s="111"/>
      <c r="H31" s="291"/>
      <c r="I31" s="291"/>
      <c r="J31" s="157"/>
      <c r="K31" s="111"/>
      <c r="L31" s="157"/>
      <c r="M31" s="106"/>
      <c r="N31" s="108"/>
    </row>
    <row r="32" ht="15.75" customHeight="1">
      <c r="A32" s="106"/>
      <c r="B32" s="108"/>
      <c r="C32" s="144"/>
      <c r="D32" s="108"/>
      <c r="E32" s="108"/>
      <c r="F32" s="321"/>
      <c r="G32" s="108"/>
      <c r="H32" s="315"/>
      <c r="I32" s="315"/>
      <c r="J32" s="315"/>
      <c r="K32" s="108"/>
      <c r="L32" s="315"/>
      <c r="M32" s="106"/>
      <c r="N32" s="108"/>
    </row>
    <row r="33">
      <c r="A33" s="106"/>
      <c r="B33" s="108"/>
      <c r="C33" s="316" t="s">
        <v>449</v>
      </c>
      <c r="D33" s="317" t="s">
        <v>450</v>
      </c>
      <c r="E33" s="163"/>
      <c r="F33" s="202" t="s">
        <v>526</v>
      </c>
      <c r="G33" s="111"/>
      <c r="H33" s="346" t="s">
        <v>527</v>
      </c>
      <c r="I33" s="291"/>
      <c r="J33" s="157"/>
      <c r="K33" s="111"/>
      <c r="L33" s="319" t="s">
        <v>453</v>
      </c>
      <c r="M33" s="106"/>
      <c r="N33" s="108"/>
    </row>
    <row r="34" ht="22.5" customHeight="1">
      <c r="A34" s="106"/>
      <c r="B34" s="108"/>
      <c r="C34" s="144"/>
      <c r="D34" s="108"/>
      <c r="E34" s="108"/>
      <c r="F34" s="108"/>
      <c r="G34" s="108"/>
      <c r="H34" s="108"/>
      <c r="I34" s="108"/>
      <c r="J34" s="144"/>
      <c r="K34" s="144"/>
      <c r="L34" s="144"/>
      <c r="M34" s="106"/>
      <c r="N34" s="108"/>
    </row>
    <row r="35">
      <c r="A35" s="106"/>
      <c r="B35" s="153" t="s">
        <v>528</v>
      </c>
      <c r="M35" s="12"/>
      <c r="N35" s="108"/>
    </row>
    <row r="36" ht="8.25" customHeight="1">
      <c r="A36" s="106"/>
      <c r="B36" s="108"/>
      <c r="C36" s="144"/>
      <c r="D36" s="108"/>
      <c r="E36" s="108"/>
      <c r="F36" s="108"/>
      <c r="G36" s="108"/>
      <c r="H36" s="108"/>
      <c r="I36" s="108"/>
      <c r="J36" s="144"/>
      <c r="K36" s="144"/>
      <c r="L36" s="144"/>
      <c r="M36" s="106"/>
      <c r="N36" s="108"/>
    </row>
    <row r="37">
      <c r="A37" s="106"/>
      <c r="B37" s="108"/>
      <c r="C37" s="205"/>
      <c r="D37" s="195" t="s">
        <v>455</v>
      </c>
      <c r="E37" s="256"/>
      <c r="F37" s="256"/>
      <c r="G37" s="108"/>
      <c r="H37" s="196" t="s">
        <v>529</v>
      </c>
      <c r="I37" s="108"/>
      <c r="J37" s="354" t="s">
        <v>457</v>
      </c>
      <c r="K37" s="137"/>
      <c r="L37" s="196" t="s">
        <v>91</v>
      </c>
      <c r="M37" s="106"/>
      <c r="N37" s="108"/>
    </row>
    <row r="38" ht="48.0" customHeight="1">
      <c r="A38" s="106"/>
      <c r="B38" s="108"/>
      <c r="C38" s="325"/>
      <c r="D38" s="326" t="str">
        <f>concatenate(H11," ",H13,if(isblank(H15),"",char(10)&amp;char(10)&amp;H15),if(isblank(H17),"",char(10)&amp;char(10)&amp;H17),if(isblank(H20),"",char(10)&amp;char(10)&amp;H20),if(isblank(H24),"",char(10)&amp;char(10)&amp;H24),if(isblank(H26),"",char(10)&amp;char(10)&amp;H26),if(isblank(H28),"",char(10)&amp;char(10)&amp;H28),if(isblank(H30),"",char(10)&amp;char(10)&amp;H30),if(isblank(H33),"",char(10)&amp;H33))</f>
        <v>User: You are professional code reviewer. Your tasks:
- review the codes,
- identify errors,
- offer guidance the corrections,
- teach how to write DRY codes
You should maintain a strict reviewer 
Follow these rules carefully:
- Analyze the code step by step before suggesting changes.
- If the code contains errors, explain what is wrong and why.
- If the code works but is poorly written, suggest improvements.
- Do NOT rewrite the entire code unless necessary.
- If you are unsure about a requirement or missing context, say "I don't know"
When facing errors, bugs in your answer, please use brackets containing the search index ID, followed by a period. Put these at the end of the sentence that's doing the citing. Examples of proper citation format:
&lt;examples&gt;
&lt;example&gt;
The bug must be polished [3].
&lt;/example&gt;
&lt;example&gt;
This part should be improved by using DRY pricipals. [5].
&lt;/example&gt;
&lt;/examples&gt;
Here is the code that the user wants reviewed.
Use it as the primary input for your analysis.
&lt;code&gt;
{{CODE}}
&lt;/code&gt;
Now review the code above and respond to the user’s request.
Before give your answer, first carefully check the bugs, then give the instructions and guidance
Put your response in &lt;response&gt;&lt;/response&gt; tags
Assistant: &lt;response&gt;</v>
      </c>
      <c r="F38" s="254"/>
      <c r="G38" s="201" t="s">
        <v>191</v>
      </c>
      <c r="H38" s="207" t="s">
        <v>530</v>
      </c>
      <c r="I38" s="203" t="s">
        <v>193</v>
      </c>
      <c r="J38" s="209" t="str">
        <f>substitute(D38,"{{CODE}}",H38)</f>
        <v>User: You are professional code reviewer. Your tasks:
- review the codes,
- identify errors,
- offer guidance the corrections,
- teach how to write DRY codes
You should maintain a strict reviewer 
Follow these rules carefully:
- Analyze the code step by step before suggesting changes.
- If the code contains errors, explain what is wrong and why.
- If the code works but is poorly written, suggest improvements.
- Do NOT rewrite the entire code unless necessary.
- If you are unsure about a requirement or missing context, say "I don't know"
When facing errors, bugs in your answer, please use brackets containing the search index ID, followed by a period. Put these at the end of the sentence that's doing the citing. Examples of proper citation format:
&lt;examples&gt;
&lt;example&gt;
The bug must be polished [3].
&lt;/example&gt;
&lt;example&gt;
This part should be improved by using DRY pricipals. [5].
&lt;/example&gt;
&lt;/examples&gt;
Here is the code that the user wants reviewed.
Use it as the primary input for your analysis.
&lt;code&gt;
# Function to print multiplicative inverses
def print_multiplicative_inverses(x, n):
  for i in range(n):
    print(x / i) 
&lt;/code&gt;
Now review the code above and respond to the user’s request.
Before give your answer, first carefully check the bugs, then give the instructions and guidance
Put your response in &lt;response&gt;&lt;/response&gt; tags
Assistant: &lt;response&gt;</v>
      </c>
      <c r="K38" s="204" t="s">
        <v>93</v>
      </c>
      <c r="L38" s="162" t="str">
        <f>claudeMessages(J38, 'Tutorial How-To'!$E$37,"temperature",0)</f>
        <v>Analyzing the code step-by-step:
1. The function `print_multiplicative_inverses` takes two parameters: `x` and `n`.
2. The function uses a `for` loop to iterate from `0` to `n-1`.
3. Inside the loop, the function prints the result of `x / i`.
Identifying the issues:
1. The code has a logical error. The multiplicative inverse of a number `x` modulo `n` is the number `y` such that `(x * y) % n = 1`. However, the current code simply divides `x` by `i`, which is not the correct way to calculate the multiplicative inverse.
2. The code also has a potential division by zero error, as the loop iterates from `0` to `n-1`, and dividing by `0` is not defined [1].
Guidance and corrections:
1. To calculate the multiplicative inverse, you can use the Extended Euclidean Algorithm, which can be implemented in Python. Here's an example:
```python
def gcd(a, b):
    while b != 0:
        a, b = b, a % b
    return a
def modinv(a, m):
    g, x, y = gcd(a, m), 1, 0
    if g != 1:
        return None
    else:
        return x % m
def print_multiplicative_inverses(x, n):
    for i in range(1, n):
        inv = modinv(i, n)
        if inv is not None:
            print(f"The multiplicative inverse of {i} modulo {n} is {inv}")
        else:
            print(f"{i} has no multiplicative inverse modulo {n}")
```
2. To avoid the division by zero error, the loop should start from `1` instead of `0`.
Writing DRY (Don't Repeat Yourself) code:
The code you provided is already quite concise and doesn't have much duplication. However, you can further improve it by separating the logic for calculating the multiplicative inverse into a separate function, as shown in the example above.
&lt;/response&gt;</v>
      </c>
      <c r="M38" s="106"/>
      <c r="N38" s="108"/>
    </row>
    <row r="39" ht="48.0" customHeight="1">
      <c r="A39" s="106"/>
      <c r="B39" s="108"/>
      <c r="C39" s="325"/>
      <c r="F39" s="254"/>
      <c r="G39" s="114"/>
      <c r="H39" s="114"/>
      <c r="I39" s="114"/>
      <c r="J39" s="114"/>
      <c r="K39" s="114"/>
      <c r="L39" s="95"/>
      <c r="M39" s="106"/>
      <c r="N39" s="108"/>
    </row>
    <row r="40" ht="48.0" customHeight="1">
      <c r="A40" s="106"/>
      <c r="B40" s="108"/>
      <c r="C40" s="325"/>
      <c r="F40" s="254"/>
      <c r="G40" s="114"/>
      <c r="H40" s="114"/>
      <c r="I40" s="114"/>
      <c r="J40" s="114"/>
      <c r="K40" s="114"/>
      <c r="L40" s="95"/>
      <c r="M40" s="106"/>
      <c r="N40" s="108"/>
    </row>
    <row r="41" ht="48.0" customHeight="1">
      <c r="A41" s="106"/>
      <c r="B41" s="108"/>
      <c r="C41" s="325"/>
      <c r="F41" s="254"/>
      <c r="G41" s="114"/>
      <c r="H41" s="114"/>
      <c r="I41" s="114"/>
      <c r="J41" s="114"/>
      <c r="K41" s="114"/>
      <c r="L41" s="95"/>
      <c r="M41" s="106"/>
      <c r="N41" s="108"/>
    </row>
    <row r="42" ht="48.0" customHeight="1">
      <c r="A42" s="106"/>
      <c r="B42" s="108"/>
      <c r="C42" s="325"/>
      <c r="F42" s="254"/>
      <c r="G42" s="114"/>
      <c r="H42" s="114"/>
      <c r="I42" s="114"/>
      <c r="J42" s="114"/>
      <c r="K42" s="114"/>
      <c r="L42" s="95"/>
      <c r="M42" s="106"/>
      <c r="N42" s="108"/>
    </row>
    <row r="43" ht="48.0" customHeight="1">
      <c r="A43" s="106"/>
      <c r="B43" s="108"/>
      <c r="C43" s="325"/>
      <c r="F43" s="254"/>
      <c r="G43" s="114"/>
      <c r="H43" s="114"/>
      <c r="I43" s="114"/>
      <c r="J43" s="114"/>
      <c r="K43" s="114"/>
      <c r="L43" s="95"/>
      <c r="M43" s="106"/>
      <c r="N43" s="108"/>
    </row>
    <row r="44" ht="48.0" customHeight="1">
      <c r="A44" s="106"/>
      <c r="B44" s="108"/>
      <c r="C44" s="325"/>
      <c r="D44" s="256"/>
      <c r="E44" s="256"/>
      <c r="F44" s="257"/>
      <c r="G44" s="114"/>
      <c r="H44" s="157"/>
      <c r="I44" s="114"/>
      <c r="J44" s="157"/>
      <c r="K44" s="114"/>
      <c r="L44" s="96"/>
      <c r="M44" s="106"/>
      <c r="N44" s="108"/>
    </row>
    <row r="45" ht="15.75" customHeight="1">
      <c r="A45" s="106"/>
      <c r="B45" s="140"/>
      <c r="C45" s="194"/>
      <c r="D45" s="140"/>
      <c r="E45" s="140"/>
      <c r="F45" s="140"/>
      <c r="G45" s="140"/>
      <c r="H45" s="140"/>
      <c r="I45" s="140"/>
      <c r="J45" s="194"/>
      <c r="K45" s="194"/>
      <c r="L45" s="194"/>
      <c r="M45" s="175"/>
      <c r="N45" s="108"/>
    </row>
    <row r="46">
      <c r="A46" s="108"/>
      <c r="B46" s="108"/>
      <c r="C46" s="144"/>
      <c r="D46" s="108"/>
      <c r="E46" s="108"/>
      <c r="F46" s="108"/>
      <c r="G46" s="108"/>
      <c r="H46" s="108"/>
      <c r="I46" s="108"/>
      <c r="J46" s="144"/>
      <c r="K46" s="144"/>
      <c r="L46" s="144"/>
      <c r="M46" s="108"/>
      <c r="N46" s="108"/>
    </row>
    <row r="47">
      <c r="A47" s="108"/>
      <c r="B47" s="214" t="s">
        <v>531</v>
      </c>
      <c r="G47" s="108"/>
      <c r="H47" s="108"/>
      <c r="I47" s="166" t="s">
        <v>532</v>
      </c>
      <c r="N47" s="108"/>
    </row>
    <row r="48" ht="8.25" customHeight="1">
      <c r="A48" s="108"/>
      <c r="B48" s="108"/>
      <c r="C48" s="108"/>
      <c r="D48" s="108"/>
      <c r="E48" s="108"/>
      <c r="F48" s="108"/>
      <c r="G48" s="108"/>
      <c r="H48" s="108"/>
      <c r="I48" s="108"/>
      <c r="J48" s="108"/>
      <c r="K48" s="108"/>
      <c r="L48" s="108"/>
      <c r="M48" s="108"/>
      <c r="N48" s="108"/>
    </row>
    <row r="49">
      <c r="A49" s="108"/>
      <c r="B49" s="215" t="s">
        <v>80</v>
      </c>
      <c r="N49" s="108"/>
    </row>
    <row r="50">
      <c r="A50" s="108"/>
      <c r="B50" s="215" t="s">
        <v>113</v>
      </c>
      <c r="N50" s="108"/>
    </row>
    <row r="51">
      <c r="A51" s="108"/>
      <c r="B51" s="108"/>
      <c r="C51" s="144"/>
      <c r="D51" s="108"/>
      <c r="E51" s="108"/>
      <c r="F51" s="108"/>
      <c r="G51" s="108"/>
      <c r="H51" s="108"/>
      <c r="I51" s="108"/>
      <c r="J51" s="144"/>
      <c r="K51" s="144"/>
      <c r="L51" s="144"/>
      <c r="M51" s="108"/>
      <c r="N51" s="108"/>
    </row>
    <row r="52">
      <c r="A52" s="108"/>
      <c r="B52" s="108"/>
      <c r="C52" s="144"/>
      <c r="D52" s="108"/>
      <c r="E52" s="108"/>
      <c r="F52" s="108"/>
      <c r="G52" s="108"/>
      <c r="H52" s="108"/>
      <c r="I52" s="108"/>
      <c r="J52" s="144"/>
      <c r="K52" s="144"/>
      <c r="L52" s="144"/>
      <c r="M52" s="108"/>
      <c r="N52" s="108"/>
    </row>
    <row r="53">
      <c r="A53" s="108"/>
      <c r="B53" s="108"/>
      <c r="C53" s="144"/>
      <c r="D53" s="108"/>
      <c r="E53" s="108"/>
      <c r="F53" s="108"/>
      <c r="G53" s="108"/>
      <c r="H53" s="108"/>
      <c r="I53" s="108"/>
      <c r="J53" s="144"/>
      <c r="K53" s="144"/>
      <c r="L53" s="144"/>
      <c r="M53" s="108"/>
      <c r="N53" s="108"/>
    </row>
    <row r="54">
      <c r="A54" s="108"/>
      <c r="B54" s="108"/>
      <c r="C54" s="144"/>
      <c r="D54" s="108"/>
      <c r="E54" s="108"/>
      <c r="F54" s="108"/>
      <c r="G54" s="108"/>
      <c r="H54" s="108"/>
      <c r="I54" s="108"/>
      <c r="J54" s="144"/>
      <c r="K54" s="144"/>
      <c r="L54" s="144"/>
      <c r="M54" s="108"/>
      <c r="N54" s="108"/>
    </row>
  </sheetData>
  <mergeCells count="34">
    <mergeCell ref="B1:J1"/>
    <mergeCell ref="C4:D4"/>
    <mergeCell ref="B6:F6"/>
    <mergeCell ref="L6:M6"/>
    <mergeCell ref="B7:M7"/>
    <mergeCell ref="H11:J11"/>
    <mergeCell ref="H13:J13"/>
    <mergeCell ref="H15:J15"/>
    <mergeCell ref="F17:F18"/>
    <mergeCell ref="H17:J18"/>
    <mergeCell ref="L17:L18"/>
    <mergeCell ref="F20:F22"/>
    <mergeCell ref="H20:J22"/>
    <mergeCell ref="L20:L22"/>
    <mergeCell ref="H24:J24"/>
    <mergeCell ref="H26:J26"/>
    <mergeCell ref="H28:J28"/>
    <mergeCell ref="H30:J31"/>
    <mergeCell ref="L30:L31"/>
    <mergeCell ref="H33:J33"/>
    <mergeCell ref="B35:M35"/>
    <mergeCell ref="K38:K44"/>
    <mergeCell ref="L38:L44"/>
    <mergeCell ref="I47:M47"/>
    <mergeCell ref="B47:F47"/>
    <mergeCell ref="B49:M49"/>
    <mergeCell ref="B50:M50"/>
    <mergeCell ref="F30:F31"/>
    <mergeCell ref="D37:F37"/>
    <mergeCell ref="D38:F44"/>
    <mergeCell ref="G38:G44"/>
    <mergeCell ref="H38:H44"/>
    <mergeCell ref="I38:I44"/>
    <mergeCell ref="J38:J44"/>
  </mergeCells>
  <conditionalFormatting sqref="L38:L44">
    <cfRule type="containsText" dxfId="0" priority="1" operator="containsText" text="ZeroDivision">
      <formula>NOT(ISERROR(SEARCH(("ZeroDivision"),(L38))))</formula>
    </cfRule>
  </conditionalFormatting>
  <hyperlinks>
    <hyperlink display="Exercise 9.2 - Codebot" location="C9CodingExercise" ref="C4"/>
    <hyperlink display="Back to top ↑" location="C9CodingTitle" ref="L6"/>
    <hyperlink display="← Chapter 9: Complex Prompts for Financial Services" location="C9FinancialTitle" ref="B47"/>
    <hyperlink display="Chapter 9: Congratulations &amp; Next Steps →" location="C9CongratsTitle" ref="I47"/>
    <hyperlink display="Back to top ↑" location="C9CodingTitle" ref="B49"/>
    <hyperlink display="Table of Contents" location="IntroTitle" ref="B50"/>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22.5"/>
    <col customWidth="1" min="6" max="6" width="31.88"/>
    <col customWidth="1" min="7" max="7" width="3.0"/>
    <col customWidth="1" min="8" max="9" width="5.5"/>
  </cols>
  <sheetData>
    <row r="1" ht="32.25" customHeight="1">
      <c r="A1" s="1"/>
      <c r="B1" s="2" t="s">
        <v>533</v>
      </c>
      <c r="F1" s="2"/>
      <c r="G1" s="3"/>
      <c r="H1" s="3"/>
      <c r="I1" s="3"/>
    </row>
    <row r="2" ht="21.75" customHeight="1"/>
    <row r="3" ht="21.75" customHeight="1">
      <c r="A3" s="23"/>
      <c r="B3" s="69" t="s">
        <v>76</v>
      </c>
    </row>
    <row r="4" ht="15.75" customHeight="1">
      <c r="A4" s="23"/>
      <c r="C4" s="70" t="s">
        <v>534</v>
      </c>
    </row>
    <row r="5" ht="33.75" customHeight="1"/>
    <row r="6" ht="29.25" customHeight="1">
      <c r="A6" s="71"/>
      <c r="B6" s="72" t="s">
        <v>535</v>
      </c>
      <c r="C6" s="73"/>
      <c r="D6" s="73"/>
      <c r="E6" s="73"/>
      <c r="F6" s="74" t="s">
        <v>80</v>
      </c>
      <c r="G6" s="75"/>
      <c r="H6" s="71"/>
      <c r="I6" s="71"/>
    </row>
    <row r="7">
      <c r="B7" s="80" t="s">
        <v>536</v>
      </c>
      <c r="G7" s="12"/>
    </row>
    <row r="8">
      <c r="B8" s="355"/>
      <c r="C8" s="356"/>
      <c r="D8" s="356"/>
      <c r="E8" s="356"/>
      <c r="F8" s="356"/>
      <c r="G8" s="357"/>
    </row>
    <row r="9" ht="18.75" customHeight="1">
      <c r="A9" s="34"/>
      <c r="B9" s="358" t="s">
        <v>537</v>
      </c>
      <c r="G9" s="12"/>
      <c r="H9" s="34"/>
      <c r="I9" s="34"/>
    </row>
    <row r="10">
      <c r="B10" s="359" t="s">
        <v>538</v>
      </c>
      <c r="C10" s="360" t="s">
        <v>539</v>
      </c>
      <c r="G10" s="12"/>
    </row>
    <row r="11">
      <c r="B11" s="359" t="s">
        <v>538</v>
      </c>
      <c r="C11" s="361" t="s">
        <v>540</v>
      </c>
      <c r="G11" s="12"/>
    </row>
    <row r="12">
      <c r="A12" s="108"/>
      <c r="B12" s="359" t="s">
        <v>538</v>
      </c>
      <c r="C12" s="361" t="s">
        <v>541</v>
      </c>
      <c r="G12" s="12"/>
      <c r="H12" s="108"/>
      <c r="I12" s="108"/>
    </row>
    <row r="13">
      <c r="A13" s="108"/>
      <c r="B13" s="359" t="s">
        <v>538</v>
      </c>
      <c r="C13" s="361" t="s">
        <v>542</v>
      </c>
      <c r="G13" s="12"/>
      <c r="H13" s="108"/>
      <c r="I13" s="108"/>
    </row>
    <row r="14">
      <c r="A14" s="106"/>
      <c r="B14" s="362" t="s">
        <v>538</v>
      </c>
      <c r="C14" s="363" t="s">
        <v>543</v>
      </c>
      <c r="G14" s="12"/>
      <c r="H14" s="108"/>
      <c r="I14" s="108"/>
    </row>
    <row r="15">
      <c r="A15" s="106"/>
      <c r="B15" s="362" t="s">
        <v>538</v>
      </c>
      <c r="C15" s="363" t="s">
        <v>544</v>
      </c>
      <c r="G15" s="12"/>
      <c r="H15" s="108"/>
      <c r="I15" s="108"/>
    </row>
    <row r="16">
      <c r="A16" s="106"/>
      <c r="B16" s="362" t="s">
        <v>538</v>
      </c>
      <c r="C16" s="363" t="s">
        <v>545</v>
      </c>
      <c r="G16" s="12"/>
      <c r="H16" s="108"/>
      <c r="I16" s="108"/>
    </row>
    <row r="17">
      <c r="B17" s="359" t="s">
        <v>538</v>
      </c>
      <c r="C17" s="128" t="s">
        <v>546</v>
      </c>
      <c r="G17" s="12"/>
    </row>
    <row r="18">
      <c r="B18" s="355"/>
      <c r="C18" s="356"/>
      <c r="D18" s="356"/>
      <c r="E18" s="356"/>
      <c r="F18" s="356"/>
      <c r="G18" s="357"/>
    </row>
    <row r="19" ht="15.75" customHeight="1">
      <c r="A19" s="34"/>
      <c r="B19" s="358" t="s">
        <v>547</v>
      </c>
      <c r="G19" s="12"/>
      <c r="H19" s="34"/>
      <c r="I19" s="34"/>
    </row>
    <row r="20" ht="8.25" customHeight="1">
      <c r="B20" s="25"/>
      <c r="G20" s="24"/>
    </row>
    <row r="21" ht="15.75" customHeight="1">
      <c r="B21" s="25"/>
      <c r="C21" s="26" t="s">
        <v>90</v>
      </c>
      <c r="E21" s="26" t="s">
        <v>91</v>
      </c>
      <c r="F21" s="26"/>
      <c r="G21" s="24"/>
    </row>
    <row r="22" ht="63.0" customHeight="1">
      <c r="B22" s="25"/>
      <c r="C22" s="93" t="s">
        <v>548</v>
      </c>
      <c r="D22" s="364" t="s">
        <v>93</v>
      </c>
      <c r="E22" s="365" t="str">
        <f>claudeMessages(C22, 'Tutorial How-To'!$E$37,"temperature",0)</f>
        <v>Here is an ode to a fabulous student who has just completed a course on prompt engineering, in the form of a sonnet:
O student, whose mind shines bright and keen,
Mastering the art of prompt engineering,
Thy skills have reached a level unseen,
Transforming language with precision's bearing.
Thy words, like magic, weave a tapestry,
Crafting prompts that unlock the mind's true might,
Guiding AI to soar with clarity,
Revealing insights that shine with brilliant light.
Thy dedication, a beacon in the night,
Has forged a path where others dare to tread,
Unlocking secrets, casting away the plight,
Leaving a legacy that shall forever be read.
O fabulous student, thy triumph we behold,
A sonnet to thy prowess, a tale to be told.</v>
      </c>
      <c r="F22" s="289"/>
      <c r="G22" s="24"/>
    </row>
    <row r="23" ht="63.0" customHeight="1">
      <c r="B23" s="25"/>
      <c r="C23" s="95"/>
      <c r="D23" s="364"/>
      <c r="E23" s="366"/>
      <c r="F23" s="114"/>
      <c r="G23" s="24"/>
    </row>
    <row r="24" ht="63.0" customHeight="1">
      <c r="B24" s="25"/>
      <c r="C24" s="95"/>
      <c r="D24" s="364"/>
      <c r="E24" s="366"/>
      <c r="F24" s="114"/>
      <c r="G24" s="24"/>
    </row>
    <row r="25" ht="63.0" customHeight="1">
      <c r="B25" s="25"/>
      <c r="C25" s="96"/>
      <c r="D25" s="364"/>
      <c r="E25" s="290"/>
      <c r="F25" s="157"/>
      <c r="G25" s="24"/>
    </row>
    <row r="26" ht="15.75" customHeight="1">
      <c r="B26" s="120"/>
      <c r="C26" s="65"/>
      <c r="D26" s="65"/>
      <c r="E26" s="65"/>
      <c r="F26" s="65"/>
      <c r="G26" s="66"/>
    </row>
    <row r="27" ht="8.25" customHeight="1"/>
    <row r="28">
      <c r="B28" s="121" t="s">
        <v>549</v>
      </c>
      <c r="E28" s="42" t="s">
        <v>550</v>
      </c>
    </row>
    <row r="29" ht="8.25" customHeight="1"/>
    <row r="30">
      <c r="B30" s="123" t="s">
        <v>80</v>
      </c>
    </row>
    <row r="31">
      <c r="B31" s="123" t="s">
        <v>113</v>
      </c>
    </row>
  </sheetData>
  <mergeCells count="21">
    <mergeCell ref="B1:E1"/>
    <mergeCell ref="B3:C3"/>
    <mergeCell ref="B6:E6"/>
    <mergeCell ref="F6:G6"/>
    <mergeCell ref="B7:G7"/>
    <mergeCell ref="B9:G9"/>
    <mergeCell ref="C10:G10"/>
    <mergeCell ref="B19:G19"/>
    <mergeCell ref="C22:C25"/>
    <mergeCell ref="E22:F25"/>
    <mergeCell ref="B28:D28"/>
    <mergeCell ref="E28:G28"/>
    <mergeCell ref="B30:G30"/>
    <mergeCell ref="B31:G31"/>
    <mergeCell ref="C11:G11"/>
    <mergeCell ref="C12:G12"/>
    <mergeCell ref="C13:G13"/>
    <mergeCell ref="C14:G14"/>
    <mergeCell ref="C15:G15"/>
    <mergeCell ref="C16:G16"/>
    <mergeCell ref="C17:G17"/>
  </mergeCells>
  <hyperlinks>
    <hyperlink display="Congratulations!" location="C9Congrats" ref="C4"/>
    <hyperlink display="Back to top ↑" location="C9CongratsTitle" ref="F6"/>
    <hyperlink r:id="rId1" ref="C10"/>
    <hyperlink r:id="rId2" ref="C11"/>
    <hyperlink r:id="rId3" ref="C12"/>
    <hyperlink r:id="rId4" ref="C13"/>
    <hyperlink r:id="rId5" ref="C14"/>
    <hyperlink r:id="rId6" ref="C15"/>
    <hyperlink r:id="rId7" ref="C16"/>
    <hyperlink display="← Chapter 9 Exercises: Prompts for Financial Services" location="'9 - Complex Prompts for Financi'!B1:E1" ref="B28"/>
    <hyperlink display="Appendix: Chaining Prompts →" location="AppChainingTitle" ref="E28"/>
    <hyperlink display="Back to top ↑" location="C9CongratsTitle" ref="B30"/>
    <hyperlink display="Table of Contents" location="IntroTitle" ref="B31"/>
  </hyperlinks>
  <drawing r:id="rId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32.75"/>
    <col customWidth="1" min="4" max="4" width="4.0"/>
    <col customWidth="1" min="5" max="5" width="39.38"/>
    <col customWidth="1" min="6" max="6" width="4.0"/>
    <col customWidth="1" min="7" max="7" width="33.63"/>
    <col customWidth="1" min="8" max="8" width="4.0"/>
    <col customWidth="1" min="9" max="9" width="41.0"/>
    <col customWidth="1" min="10" max="10" width="3.0"/>
    <col customWidth="1" min="11" max="11" width="5.5"/>
  </cols>
  <sheetData>
    <row r="1" ht="32.25" customHeight="1">
      <c r="A1" s="1"/>
      <c r="B1" s="2" t="s">
        <v>551</v>
      </c>
      <c r="H1" s="237"/>
      <c r="I1" s="216"/>
      <c r="J1" s="3"/>
      <c r="K1" s="3"/>
    </row>
    <row r="2" ht="21.75" customHeight="1">
      <c r="D2" s="34"/>
      <c r="F2" s="34"/>
      <c r="G2" s="97"/>
      <c r="H2" s="34"/>
      <c r="I2" s="71"/>
    </row>
    <row r="3" ht="21.75" customHeight="1">
      <c r="A3" s="23"/>
      <c r="B3" s="69" t="s">
        <v>76</v>
      </c>
      <c r="D3" s="34"/>
      <c r="F3" s="34"/>
      <c r="G3" s="23"/>
      <c r="H3" s="217"/>
    </row>
    <row r="4" ht="15.75" customHeight="1">
      <c r="A4" s="23"/>
      <c r="C4" s="70" t="s">
        <v>53</v>
      </c>
      <c r="D4" s="34"/>
      <c r="F4" s="34"/>
      <c r="G4" s="23"/>
      <c r="H4" s="34"/>
      <c r="I4" s="218"/>
    </row>
    <row r="5" ht="15.75" customHeight="1">
      <c r="A5" s="23"/>
      <c r="C5" s="70" t="s">
        <v>77</v>
      </c>
      <c r="D5" s="34"/>
      <c r="F5" s="34"/>
      <c r="G5" s="23"/>
      <c r="H5" s="34"/>
      <c r="I5" s="218"/>
    </row>
    <row r="6" ht="15.75" customHeight="1">
      <c r="A6" s="23" t="s">
        <v>78</v>
      </c>
      <c r="C6" s="70" t="s">
        <v>79</v>
      </c>
      <c r="D6" s="34"/>
      <c r="F6" s="34"/>
      <c r="G6" s="23" t="s">
        <v>78</v>
      </c>
      <c r="H6" s="34"/>
      <c r="I6" s="218"/>
    </row>
    <row r="7" ht="33.75" customHeight="1">
      <c r="D7" s="34"/>
      <c r="F7" s="34"/>
      <c r="H7" s="34"/>
    </row>
    <row r="8" ht="29.25" customHeight="1">
      <c r="A8" s="71"/>
      <c r="B8" s="72" t="s">
        <v>53</v>
      </c>
      <c r="C8" s="73"/>
      <c r="D8" s="73"/>
      <c r="E8" s="73"/>
      <c r="F8" s="219"/>
      <c r="G8" s="238"/>
      <c r="H8" s="219"/>
      <c r="I8" s="74" t="s">
        <v>80</v>
      </c>
      <c r="J8" s="75"/>
      <c r="K8" s="71"/>
    </row>
    <row r="9">
      <c r="B9" s="367" t="s">
        <v>552</v>
      </c>
      <c r="C9" s="49"/>
      <c r="D9" s="49"/>
      <c r="E9" s="49"/>
      <c r="F9" s="49"/>
      <c r="G9" s="49"/>
      <c r="H9" s="49"/>
      <c r="I9" s="49"/>
      <c r="J9" s="50"/>
    </row>
    <row r="10" ht="33.75" customHeight="1">
      <c r="D10" s="34"/>
      <c r="F10" s="34"/>
      <c r="G10" s="97"/>
      <c r="H10" s="34"/>
      <c r="I10" s="71"/>
    </row>
    <row r="11" ht="29.25" customHeight="1">
      <c r="B11" s="72" t="s">
        <v>77</v>
      </c>
      <c r="C11" s="73"/>
      <c r="D11" s="73"/>
      <c r="E11" s="73"/>
      <c r="F11" s="219"/>
      <c r="G11" s="220"/>
      <c r="H11" s="219"/>
      <c r="I11" s="74" t="s">
        <v>80</v>
      </c>
      <c r="J11" s="75"/>
    </row>
    <row r="12">
      <c r="B12" s="89" t="s">
        <v>553</v>
      </c>
      <c r="J12" s="12"/>
    </row>
    <row r="13" ht="8.25" customHeight="1">
      <c r="B13" s="22"/>
      <c r="D13" s="34"/>
      <c r="F13" s="34"/>
      <c r="G13" s="97"/>
      <c r="H13" s="34"/>
      <c r="I13" s="71"/>
      <c r="J13" s="24"/>
    </row>
    <row r="14">
      <c r="A14" s="221"/>
      <c r="B14" s="222"/>
      <c r="C14" s="223" t="s">
        <v>90</v>
      </c>
      <c r="D14" s="224"/>
      <c r="E14" s="223"/>
      <c r="F14" s="224"/>
      <c r="G14" s="225" t="s">
        <v>554</v>
      </c>
      <c r="H14" s="224"/>
      <c r="I14" s="226"/>
      <c r="J14" s="227"/>
      <c r="K14" s="221"/>
    </row>
    <row r="15" ht="74.25" customHeight="1">
      <c r="B15" s="25"/>
      <c r="C15" s="287" t="s">
        <v>555</v>
      </c>
      <c r="D15" s="288"/>
      <c r="E15" s="289"/>
      <c r="F15" s="91" t="s">
        <v>93</v>
      </c>
      <c r="G15" s="368" t="str">
        <f>claudeMessages(C15, 'Tutorial How-To'!$E$37,"temperature",0)</f>
        <v>Here are 10 words that end with the letters "ab":
1. Cab
2. Dab
3. Fab
4. Gab
5. Jab
6. Lab
7. Nab
8. Slab
9. Tab
10. Zab</v>
      </c>
      <c r="H15" s="288"/>
      <c r="I15" s="289"/>
      <c r="J15" s="24"/>
    </row>
    <row r="16" ht="74.25" customHeight="1">
      <c r="B16" s="25"/>
      <c r="C16" s="366"/>
      <c r="E16" s="114"/>
      <c r="G16" s="366"/>
      <c r="I16" s="114"/>
      <c r="J16" s="24"/>
    </row>
    <row r="17" ht="74.25" customHeight="1">
      <c r="B17" s="25"/>
      <c r="C17" s="290"/>
      <c r="D17" s="291"/>
      <c r="E17" s="157"/>
      <c r="G17" s="290"/>
      <c r="H17" s="291"/>
      <c r="I17" s="157"/>
      <c r="J17" s="24"/>
    </row>
    <row r="18" ht="15.75" customHeight="1">
      <c r="B18" s="25"/>
      <c r="C18" s="232"/>
      <c r="D18" s="91"/>
      <c r="E18" s="233"/>
      <c r="F18" s="34"/>
      <c r="G18" s="233"/>
      <c r="H18" s="34"/>
      <c r="I18" s="233"/>
      <c r="J18" s="24"/>
    </row>
    <row r="19">
      <c r="B19" s="89" t="s">
        <v>556</v>
      </c>
      <c r="J19" s="12"/>
    </row>
    <row r="20" ht="8.25" customHeight="1">
      <c r="B20" s="25"/>
      <c r="D20" s="34"/>
      <c r="F20" s="34"/>
      <c r="G20" s="97"/>
      <c r="H20" s="34"/>
      <c r="I20" s="71"/>
      <c r="J20" s="24"/>
    </row>
    <row r="21">
      <c r="A21" s="221"/>
      <c r="B21" s="222"/>
      <c r="C21" s="223" t="s">
        <v>187</v>
      </c>
      <c r="D21" s="224"/>
      <c r="E21" s="225" t="s">
        <v>557</v>
      </c>
      <c r="F21" s="224"/>
      <c r="G21" s="225" t="s">
        <v>189</v>
      </c>
      <c r="H21" s="224"/>
      <c r="I21" s="369" t="s">
        <v>558</v>
      </c>
      <c r="J21" s="227"/>
      <c r="K21" s="221"/>
    </row>
    <row r="22" ht="66.75" customHeight="1">
      <c r="A22" s="106"/>
      <c r="B22" s="199"/>
      <c r="C22" s="370" t="s">
        <v>559</v>
      </c>
      <c r="D22" s="201" t="s">
        <v>191</v>
      </c>
      <c r="E22" s="371" t="str">
        <f>concatenate(C15,char(10),"Assistant: ",G15)</f>
        <v>User: Name ten words that all end with the exact letters "ab".
Assistant: Here are 10 words that end with the letters "ab":
1. Cab
2. Dab
3. Fab
4. Gab
5. Jab
6. Lab
7. Nab
8. Slab
9. Tab
10. Zab</v>
      </c>
      <c r="F22" s="203" t="s">
        <v>193</v>
      </c>
      <c r="G22" s="372" t="str">
        <f>substitute(C22,"{{CONVO_HISTORY}}",E22)</f>
        <v>User: Name ten words that all end with the exact letters "ab".
Assistant: Here are 10 words that end with the letters "ab":
1. Cab
2. Dab
3. Fab
4. Gab
5. Jab
6. Lab
7. Nab
8. Slab
9. Tab
10. Zab
User: Please find replacements for all "words" that are not real words.</v>
      </c>
      <c r="H22" s="204" t="s">
        <v>93</v>
      </c>
      <c r="I22" s="373" t="str">
        <f>claudeMessages(G22, 'Tutorial How-To'!$E$37,"temperature",0)</f>
        <v>Here are 10 real words that end with the letters "ab":
1. Cab
2. Dab
3. Fab
4. Grab
5. Jab
6. Lab
7. Nab
8. Slab
9. Tab
10. Crab</v>
      </c>
      <c r="J22" s="106"/>
      <c r="K22" s="108"/>
    </row>
    <row r="23" ht="66.75" customHeight="1">
      <c r="A23" s="106"/>
      <c r="B23" s="199"/>
      <c r="C23" s="254"/>
      <c r="D23" s="114"/>
      <c r="E23" s="114"/>
      <c r="F23" s="114"/>
      <c r="G23" s="114"/>
      <c r="H23" s="114"/>
      <c r="I23" s="114"/>
      <c r="J23" s="106"/>
      <c r="K23" s="108"/>
    </row>
    <row r="24" ht="66.75" customHeight="1">
      <c r="A24" s="106"/>
      <c r="B24" s="199"/>
      <c r="C24" s="254"/>
      <c r="D24" s="114"/>
      <c r="E24" s="114"/>
      <c r="F24" s="114"/>
      <c r="G24" s="114"/>
      <c r="H24" s="114"/>
      <c r="I24" s="114"/>
      <c r="J24" s="106"/>
      <c r="K24" s="108"/>
    </row>
    <row r="25" ht="34.5" customHeight="1">
      <c r="A25" s="106"/>
      <c r="B25" s="199"/>
      <c r="C25" s="257"/>
      <c r="D25" s="114"/>
      <c r="E25" s="157"/>
      <c r="F25" s="114"/>
      <c r="G25" s="157"/>
      <c r="H25" s="114"/>
      <c r="I25" s="157"/>
      <c r="J25" s="106"/>
      <c r="K25" s="108"/>
    </row>
    <row r="26" ht="15.75" customHeight="1">
      <c r="B26" s="25"/>
      <c r="C26" s="232"/>
      <c r="D26" s="91"/>
      <c r="E26" s="233"/>
      <c r="F26" s="34"/>
      <c r="G26" s="233"/>
      <c r="H26" s="34"/>
      <c r="I26" s="233"/>
      <c r="J26" s="24"/>
    </row>
    <row r="27">
      <c r="B27" s="89" t="s">
        <v>560</v>
      </c>
      <c r="J27" s="12"/>
    </row>
    <row r="28" ht="8.25" customHeight="1">
      <c r="B28" s="22"/>
      <c r="D28" s="34"/>
      <c r="F28" s="34"/>
      <c r="G28" s="97"/>
      <c r="H28" s="34"/>
      <c r="I28" s="71"/>
      <c r="J28" s="24"/>
    </row>
    <row r="29">
      <c r="A29" s="374"/>
      <c r="B29" s="375"/>
      <c r="C29" s="225" t="s">
        <v>187</v>
      </c>
      <c r="D29" s="376"/>
      <c r="E29" s="225" t="s">
        <v>561</v>
      </c>
      <c r="F29" s="376"/>
      <c r="G29" s="225" t="s">
        <v>189</v>
      </c>
      <c r="H29" s="376"/>
      <c r="I29" s="377" t="s">
        <v>558</v>
      </c>
      <c r="J29" s="378"/>
      <c r="K29" s="374"/>
    </row>
    <row r="30" ht="54.0" customHeight="1">
      <c r="A30" s="106"/>
      <c r="B30" s="199"/>
      <c r="C30" s="370" t="s">
        <v>559</v>
      </c>
      <c r="D30" s="201" t="s">
        <v>191</v>
      </c>
      <c r="E30" s="379" t="str">
        <f>concatenate(C15,char(10),"Assistant: ","1. Cab
2. Dab
3. Grab
4. Gab
5. Jab
6. Lab
7. Nab
8. Slab
9. Tab
10. Blab")</f>
        <v>User: Name ten words that all end with the exact letters "ab".
Assistant: 1. Cab
2. Dab
3. Grab
4. Gab
5. Jab
6. Lab
7. Nab
8. Slab
9. Tab
10. Blab</v>
      </c>
      <c r="F30" s="203" t="s">
        <v>193</v>
      </c>
      <c r="G30" s="269" t="str">
        <f>substitute(C30,"{{CONVO_HISTORY}}",E30)</f>
        <v>User: Name ten words that all end with the exact letters "ab".
Assistant: 1. Cab
2. Dab
3. Grab
4. Gab
5. Jab
6. Lab
7. Nab
8. Slab
9. Tab
10. Blab
User: Please find replacements for all "words" that are not real words.</v>
      </c>
      <c r="H30" s="204" t="s">
        <v>93</v>
      </c>
      <c r="I30" s="380" t="str">
        <f>claudeMessages(G30, 'Tutorial How-To'!$E$37,"temperature",0)</f>
        <v>Here are 10 real words that end with the letters "ab":
1. Cab
2. Dab
3. Grab
4. Gab
5. Jab
6. Lab
7. Nab
8. Slab
9. Tab
10. Blab</v>
      </c>
      <c r="J30" s="106"/>
      <c r="K30" s="108"/>
    </row>
    <row r="31" ht="54.0" customHeight="1">
      <c r="A31" s="106"/>
      <c r="B31" s="199"/>
      <c r="C31" s="254"/>
      <c r="D31" s="114"/>
      <c r="E31" s="114"/>
      <c r="F31" s="114"/>
      <c r="G31" s="114"/>
      <c r="H31" s="114"/>
      <c r="I31" s="114"/>
      <c r="J31" s="106"/>
      <c r="K31" s="108"/>
    </row>
    <row r="32" ht="54.0" customHeight="1">
      <c r="A32" s="106"/>
      <c r="B32" s="199"/>
      <c r="C32" s="254"/>
      <c r="D32" s="114"/>
      <c r="E32" s="114"/>
      <c r="F32" s="114"/>
      <c r="G32" s="114"/>
      <c r="H32" s="114"/>
      <c r="I32" s="114"/>
      <c r="J32" s="106"/>
      <c r="K32" s="108"/>
    </row>
    <row r="33" ht="54.0" customHeight="1">
      <c r="A33" s="106"/>
      <c r="B33" s="199"/>
      <c r="C33" s="257"/>
      <c r="D33" s="114"/>
      <c r="E33" s="157"/>
      <c r="F33" s="114"/>
      <c r="G33" s="157"/>
      <c r="H33" s="114"/>
      <c r="I33" s="157"/>
      <c r="J33" s="106"/>
      <c r="K33" s="108"/>
    </row>
    <row r="34" ht="15.75" customHeight="1">
      <c r="B34" s="25"/>
      <c r="D34" s="34"/>
      <c r="F34" s="34"/>
      <c r="G34" s="97"/>
      <c r="H34" s="34"/>
      <c r="I34" s="71"/>
      <c r="J34" s="24"/>
    </row>
    <row r="35">
      <c r="B35" s="89" t="s">
        <v>562</v>
      </c>
      <c r="J35" s="12"/>
    </row>
    <row r="36" ht="11.25" customHeight="1">
      <c r="B36" s="25"/>
      <c r="D36" s="34"/>
      <c r="F36" s="34"/>
      <c r="G36" s="97"/>
      <c r="H36" s="34"/>
      <c r="I36" s="71"/>
      <c r="J36" s="24"/>
    </row>
    <row r="37">
      <c r="B37" s="89" t="s">
        <v>563</v>
      </c>
      <c r="J37" s="12"/>
    </row>
    <row r="38" ht="8.25" customHeight="1">
      <c r="B38" s="22"/>
      <c r="D38" s="34"/>
      <c r="F38" s="34"/>
      <c r="G38" s="97"/>
      <c r="H38" s="34"/>
      <c r="I38" s="71"/>
      <c r="J38" s="24"/>
    </row>
    <row r="39">
      <c r="A39" s="106"/>
      <c r="B39" s="108"/>
      <c r="C39" s="196" t="s">
        <v>90</v>
      </c>
      <c r="D39" s="381"/>
      <c r="E39" s="173"/>
      <c r="F39" s="191"/>
      <c r="G39" s="197" t="s">
        <v>564</v>
      </c>
      <c r="H39" s="291"/>
      <c r="I39" s="291"/>
      <c r="J39" s="106"/>
      <c r="K39" s="108"/>
    </row>
    <row r="40" ht="49.5" customHeight="1">
      <c r="A40" s="106"/>
      <c r="B40" s="111"/>
      <c r="C40" s="330" t="s">
        <v>565</v>
      </c>
      <c r="E40" s="114"/>
      <c r="F40" s="204" t="s">
        <v>93</v>
      </c>
      <c r="G40" s="382" t="str">
        <f>claudeMessages(C40, 'Tutorial How-To'!$E$37,"temperature",0)</f>
        <v>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I40" s="114"/>
      <c r="J40" s="106"/>
      <c r="K40" s="108"/>
    </row>
    <row r="41" ht="49.5" customHeight="1">
      <c r="A41" s="106"/>
      <c r="B41" s="111"/>
      <c r="C41" s="291"/>
      <c r="D41" s="291"/>
      <c r="E41" s="157"/>
      <c r="F41" s="114"/>
      <c r="G41" s="291"/>
      <c r="H41" s="291"/>
      <c r="I41" s="157"/>
      <c r="J41" s="106"/>
      <c r="K41" s="108"/>
    </row>
    <row r="42" ht="8.25" customHeight="1">
      <c r="A42" s="106"/>
      <c r="B42" s="137"/>
      <c r="C42" s="108"/>
      <c r="D42" s="191"/>
      <c r="E42" s="108"/>
      <c r="F42" s="191"/>
      <c r="G42" s="108"/>
      <c r="H42" s="191"/>
      <c r="I42" s="144"/>
      <c r="J42" s="106"/>
      <c r="K42" s="108"/>
    </row>
    <row r="43">
      <c r="A43" s="106"/>
      <c r="B43" s="108"/>
      <c r="C43" s="195" t="s">
        <v>187</v>
      </c>
      <c r="D43" s="191"/>
      <c r="E43" s="196" t="s">
        <v>566</v>
      </c>
      <c r="F43" s="191"/>
      <c r="G43" s="197" t="s">
        <v>189</v>
      </c>
      <c r="H43" s="191"/>
      <c r="I43" s="198" t="s">
        <v>567</v>
      </c>
      <c r="J43" s="106"/>
      <c r="K43" s="108"/>
    </row>
    <row r="44" ht="66.75" customHeight="1">
      <c r="A44" s="106"/>
      <c r="B44" s="199"/>
      <c r="C44" s="383" t="s">
        <v>568</v>
      </c>
      <c r="D44" s="201" t="s">
        <v>191</v>
      </c>
      <c r="E44" s="384" t="str">
        <f>concatenate(C40,char(10),"Assistant: ",G40)</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F44" s="203" t="s">
        <v>193</v>
      </c>
      <c r="G44" s="385" t="str">
        <f>substitute(C44,"{{PAST_STORY}}",E44)</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
User: Make the story better.</v>
      </c>
      <c r="H44" s="204" t="s">
        <v>93</v>
      </c>
      <c r="I44" s="335" t="str">
        <f>claudeMessages(G44, 'Tutorial How-To'!$E$37,"temperature",0)</f>
        <v>Here is the three-sentence short story with some improvements:
Amelia's heart raced as she pushed herself harder, her legs pumping with each stride as she flew down the winding trail. The rhythmic pounding of her feet and the rush of air past her ears filled her senses, and she felt a profound sense of joy and liberation with every step. Crossing the finish line, she broke into a wide grin, reveling in the knowledge that she had conquered the challenge and emerged stronger and more confident than before.</v>
      </c>
      <c r="J44" s="106"/>
      <c r="K44" s="108"/>
    </row>
    <row r="45" ht="66.75" customHeight="1">
      <c r="A45" s="106"/>
      <c r="B45" s="199"/>
      <c r="C45" s="254"/>
      <c r="D45" s="114"/>
      <c r="E45" s="114"/>
      <c r="F45" s="114"/>
      <c r="G45" s="114"/>
      <c r="H45" s="114"/>
      <c r="I45" s="114"/>
      <c r="J45" s="106"/>
      <c r="K45" s="108"/>
    </row>
    <row r="46" ht="66.75" customHeight="1">
      <c r="A46" s="106"/>
      <c r="B46" s="199"/>
      <c r="C46" s="254"/>
      <c r="D46" s="114"/>
      <c r="E46" s="114"/>
      <c r="F46" s="114"/>
      <c r="G46" s="114"/>
      <c r="H46" s="114"/>
      <c r="I46" s="114"/>
      <c r="J46" s="106"/>
      <c r="K46" s="108"/>
    </row>
    <row r="47" ht="66.75" customHeight="1">
      <c r="A47" s="106"/>
      <c r="B47" s="199"/>
      <c r="C47" s="257"/>
      <c r="D47" s="114"/>
      <c r="E47" s="157"/>
      <c r="F47" s="114"/>
      <c r="G47" s="157"/>
      <c r="H47" s="114"/>
      <c r="I47" s="157"/>
      <c r="J47" s="106"/>
      <c r="K47" s="108"/>
    </row>
    <row r="48" ht="15.75" customHeight="1">
      <c r="B48" s="25"/>
      <c r="D48" s="34"/>
      <c r="F48" s="34"/>
      <c r="G48" s="97"/>
      <c r="H48" s="34"/>
      <c r="I48" s="71"/>
      <c r="J48" s="24"/>
    </row>
    <row r="49">
      <c r="B49" s="89" t="s">
        <v>569</v>
      </c>
      <c r="J49" s="12"/>
    </row>
    <row r="50" ht="8.25" customHeight="1">
      <c r="B50" s="22"/>
      <c r="D50" s="34"/>
      <c r="F50" s="34"/>
      <c r="G50" s="97"/>
      <c r="H50" s="34"/>
      <c r="I50" s="71"/>
      <c r="J50" s="24"/>
    </row>
    <row r="51">
      <c r="A51" s="106"/>
      <c r="B51" s="108"/>
      <c r="C51" s="196" t="s">
        <v>570</v>
      </c>
      <c r="D51" s="191"/>
      <c r="E51" s="196" t="s">
        <v>571</v>
      </c>
      <c r="F51" s="191"/>
      <c r="G51" s="386" t="s">
        <v>572</v>
      </c>
      <c r="H51" s="191"/>
      <c r="I51" s="205"/>
      <c r="J51" s="106"/>
      <c r="K51" s="108"/>
    </row>
    <row r="52" ht="94.5" customHeight="1">
      <c r="A52" s="106"/>
      <c r="B52" s="111"/>
      <c r="C52" s="209" t="s">
        <v>573</v>
      </c>
      <c r="D52" s="204" t="s">
        <v>93</v>
      </c>
      <c r="E52" s="162" t="str">
        <f>claudeMessages(C52, 'Tutorial How-To'!$E$37,"temperature",0)</f>
        <v>- Jesse
- Erin
- Joey
- Keisha
- Mel
&lt;/names&gt;</v>
      </c>
      <c r="F52" s="387" t="s">
        <v>191</v>
      </c>
      <c r="G52" s="388" t="s">
        <v>574</v>
      </c>
      <c r="H52" s="108"/>
      <c r="I52" s="205"/>
      <c r="J52" s="106"/>
      <c r="K52" s="108"/>
    </row>
    <row r="53" ht="15.75" customHeight="1">
      <c r="A53" s="106"/>
      <c r="B53" s="111"/>
      <c r="C53" s="114"/>
      <c r="D53" s="114"/>
      <c r="E53" s="95"/>
      <c r="F53" s="191"/>
      <c r="G53" s="389" t="s">
        <v>193</v>
      </c>
      <c r="H53" s="191"/>
      <c r="I53" s="205"/>
      <c r="J53" s="106"/>
      <c r="K53" s="108"/>
    </row>
    <row r="54" ht="15.75" customHeight="1">
      <c r="A54" s="106"/>
      <c r="B54" s="163"/>
      <c r="C54" s="114"/>
      <c r="D54" s="114"/>
      <c r="E54" s="95"/>
      <c r="F54" s="137"/>
      <c r="G54" s="197" t="s">
        <v>575</v>
      </c>
      <c r="H54" s="137"/>
      <c r="I54" s="198" t="s">
        <v>576</v>
      </c>
      <c r="J54" s="146"/>
      <c r="K54" s="108"/>
    </row>
    <row r="55" ht="83.25" customHeight="1">
      <c r="A55" s="106"/>
      <c r="B55" s="163"/>
      <c r="C55" s="114"/>
      <c r="D55" s="114"/>
      <c r="E55" s="95"/>
      <c r="F55" s="163"/>
      <c r="G55" s="297" t="str">
        <f>substitute(G52,"{{NAMES}}",E52)</f>
        <v>User: Here is a list of names: 
&lt;names&gt;- Jesse
- Erin
- Joey
- Keisha
- Mel
&lt;/names&gt;
Please alphabetize the list.</v>
      </c>
      <c r="H55" s="151" t="s">
        <v>93</v>
      </c>
      <c r="I55" s="162" t="str">
        <f>claudeMessages(G55, 'Tutorial How-To'!$E$37,"temperature",0)</f>
        <v>Here is the list of names alphabetized:
&lt;names&gt;
- Erin
- Jesse
- Joey
- Keisha
- Mel
&lt;/names&gt;</v>
      </c>
      <c r="J55" s="146"/>
      <c r="K55" s="108"/>
    </row>
    <row r="56" ht="83.25" customHeight="1">
      <c r="A56" s="106"/>
      <c r="B56" s="163"/>
      <c r="C56" s="157"/>
      <c r="D56" s="114"/>
      <c r="E56" s="96"/>
      <c r="F56" s="163"/>
      <c r="G56" s="96"/>
      <c r="H56" s="164"/>
      <c r="I56" s="95"/>
      <c r="J56" s="146"/>
      <c r="K56" s="108"/>
    </row>
    <row r="57" ht="15.75" customHeight="1">
      <c r="B57" s="120"/>
      <c r="C57" s="65"/>
      <c r="D57" s="65"/>
      <c r="E57" s="65"/>
      <c r="F57" s="65"/>
      <c r="G57" s="65"/>
      <c r="H57" s="390"/>
      <c r="I57" s="391"/>
      <c r="J57" s="392"/>
    </row>
    <row r="58" ht="33.75" customHeight="1">
      <c r="H58" s="34"/>
      <c r="I58" s="71"/>
    </row>
    <row r="59" ht="29.25" customHeight="1">
      <c r="B59" s="72" t="s">
        <v>79</v>
      </c>
      <c r="C59" s="73"/>
      <c r="D59" s="73"/>
      <c r="E59" s="73"/>
      <c r="F59" s="219"/>
      <c r="G59" s="220"/>
      <c r="H59" s="219"/>
      <c r="I59" s="74" t="s">
        <v>80</v>
      </c>
      <c r="J59" s="75"/>
    </row>
    <row r="60">
      <c r="B60" s="89" t="s">
        <v>577</v>
      </c>
      <c r="J60" s="12"/>
    </row>
    <row r="61" ht="8.25" customHeight="1">
      <c r="B61" s="22"/>
      <c r="D61" s="34"/>
      <c r="F61" s="34"/>
      <c r="G61" s="97"/>
      <c r="H61" s="34"/>
      <c r="I61" s="71"/>
      <c r="J61" s="24"/>
    </row>
    <row r="62">
      <c r="A62" s="221"/>
      <c r="B62" s="222"/>
      <c r="C62" s="223" t="s">
        <v>90</v>
      </c>
      <c r="D62" s="224"/>
      <c r="E62" s="223"/>
      <c r="F62" s="224"/>
      <c r="G62" s="225" t="s">
        <v>554</v>
      </c>
      <c r="H62" s="224"/>
      <c r="I62" s="226"/>
      <c r="J62" s="227"/>
      <c r="K62" s="221"/>
    </row>
    <row r="63" ht="74.25" customHeight="1">
      <c r="B63" s="25"/>
      <c r="C63" s="287" t="s">
        <v>555</v>
      </c>
      <c r="D63" s="288"/>
      <c r="E63" s="289"/>
      <c r="F63" s="91" t="s">
        <v>93</v>
      </c>
      <c r="G63" s="393" t="str">
        <f>claudeMessages(C63, 'Tutorial How-To'!$E$37,"temperature",0)</f>
        <v>Here are 10 words that end with the letters "ab":
1. Cab
2. Dab
3. Fab
4. Gab
5. Jab
6. Lab
7. Nab
8. Slab
9. Tab
10. Zab</v>
      </c>
      <c r="H63" s="288"/>
      <c r="I63" s="289"/>
      <c r="J63" s="24"/>
    </row>
    <row r="64" ht="74.25" customHeight="1">
      <c r="B64" s="25"/>
      <c r="C64" s="366"/>
      <c r="E64" s="114"/>
      <c r="G64" s="366"/>
      <c r="I64" s="114"/>
      <c r="J64" s="24"/>
    </row>
    <row r="65" ht="74.25" customHeight="1">
      <c r="B65" s="25"/>
      <c r="C65" s="290"/>
      <c r="D65" s="291"/>
      <c r="E65" s="157"/>
      <c r="G65" s="290"/>
      <c r="H65" s="291"/>
      <c r="I65" s="157"/>
      <c r="J65" s="24"/>
    </row>
    <row r="66" ht="8.25" customHeight="1">
      <c r="B66" s="25"/>
      <c r="D66" s="34"/>
      <c r="F66" s="34"/>
      <c r="G66" s="97"/>
      <c r="H66" s="34"/>
      <c r="I66" s="71"/>
      <c r="J66" s="24"/>
    </row>
    <row r="67">
      <c r="A67" s="106"/>
      <c r="B67" s="108"/>
      <c r="C67" s="195" t="s">
        <v>187</v>
      </c>
      <c r="D67" s="191"/>
      <c r="E67" s="197" t="s">
        <v>557</v>
      </c>
      <c r="F67" s="191"/>
      <c r="G67" s="197" t="s">
        <v>189</v>
      </c>
      <c r="H67" s="191"/>
      <c r="I67" s="196" t="s">
        <v>558</v>
      </c>
      <c r="J67" s="106"/>
      <c r="K67" s="108"/>
    </row>
    <row r="68" ht="66.75" customHeight="1">
      <c r="A68" s="106"/>
      <c r="B68" s="199"/>
      <c r="C68" s="383" t="s">
        <v>559</v>
      </c>
      <c r="D68" s="394" t="s">
        <v>191</v>
      </c>
      <c r="E68" s="395" t="str">
        <f>concatenate(C63,char(10),"Assistant: ",G63)</f>
        <v>User: Name ten words that all end with the exact letters "ab".
Assistant: Here are 10 words that end with the letters "ab":
1. Cab
2. Dab
3. Fab
4. Gab
5. Jab
6. Lab
7. Nab
8. Slab
9. Tab
10. Zab</v>
      </c>
      <c r="F68" s="396" t="s">
        <v>193</v>
      </c>
      <c r="G68" s="209" t="str">
        <f>substitute(C68,"{{CONVO_HISTORY}}",E68)</f>
        <v>User: Name ten words that all end with the exact letters "ab".
Assistant: Here are 10 words that end with the letters "ab":
1. Cab
2. Dab
3. Fab
4. Gab
5. Jab
6. Lab
7. Nab
8. Slab
9. Tab
10. Zab
User: Please find replacements for all "words" that are not real words.</v>
      </c>
      <c r="H68" s="151" t="s">
        <v>93</v>
      </c>
      <c r="I68" s="335" t="str">
        <f>claudeMessages(G68,'Tutorial How-To'!$E$37,"temperature",0)</f>
        <v>Here are 10 real words that end with the letters "ab":
1. Cab
2. Dab
3. Fab
4. Grab
5. Jab
6. Lab
7. Nab
8. Slab
9. Tab
10. Crab</v>
      </c>
      <c r="J68" s="106"/>
      <c r="K68" s="108"/>
    </row>
    <row r="69" ht="66.75" customHeight="1">
      <c r="A69" s="106"/>
      <c r="B69" s="199"/>
      <c r="C69" s="254"/>
      <c r="D69" s="114"/>
      <c r="E69" s="114"/>
      <c r="F69" s="114"/>
      <c r="G69" s="114"/>
      <c r="H69" s="114"/>
      <c r="I69" s="114"/>
      <c r="J69" s="106"/>
      <c r="K69" s="108"/>
    </row>
    <row r="70" ht="66.75" customHeight="1">
      <c r="A70" s="106"/>
      <c r="B70" s="199"/>
      <c r="C70" s="254"/>
      <c r="D70" s="114"/>
      <c r="E70" s="114"/>
      <c r="F70" s="114"/>
      <c r="G70" s="114"/>
      <c r="H70" s="114"/>
      <c r="I70" s="114"/>
      <c r="J70" s="106"/>
      <c r="K70" s="108"/>
    </row>
    <row r="71" ht="34.5" customHeight="1">
      <c r="A71" s="106"/>
      <c r="B71" s="199"/>
      <c r="C71" s="257"/>
      <c r="D71" s="114"/>
      <c r="E71" s="157"/>
      <c r="F71" s="114"/>
      <c r="G71" s="157"/>
      <c r="H71" s="114"/>
      <c r="I71" s="157"/>
      <c r="J71" s="106"/>
      <c r="K71" s="108"/>
    </row>
    <row r="72" ht="8.25" customHeight="1">
      <c r="A72" s="106"/>
      <c r="B72" s="108"/>
      <c r="C72" s="108"/>
      <c r="D72" s="191"/>
      <c r="E72" s="108"/>
      <c r="F72" s="191"/>
      <c r="G72" s="108"/>
      <c r="H72" s="191"/>
      <c r="I72" s="144"/>
      <c r="J72" s="106"/>
      <c r="K72" s="108"/>
    </row>
    <row r="73" ht="15.75" customHeight="1">
      <c r="A73" s="106"/>
      <c r="B73" s="108"/>
      <c r="C73" s="397" t="s">
        <v>187</v>
      </c>
      <c r="D73" s="191"/>
      <c r="E73" s="197" t="s">
        <v>561</v>
      </c>
      <c r="F73" s="191"/>
      <c r="G73" s="197" t="s">
        <v>189</v>
      </c>
      <c r="H73" s="191"/>
      <c r="I73" s="197" t="s">
        <v>558</v>
      </c>
      <c r="J73" s="106"/>
      <c r="K73" s="108"/>
    </row>
    <row r="74" ht="54.0" customHeight="1">
      <c r="A74" s="106"/>
      <c r="B74" s="199"/>
      <c r="C74" s="383" t="s">
        <v>559</v>
      </c>
      <c r="D74" s="394" t="s">
        <v>191</v>
      </c>
      <c r="E74" s="395" t="str">
        <f>concatenate(C63,char(10),"Assistant: ","1. Cab
2. Dab
3. Grab
4. Gab
5. Jab
6. Lab
7. Nab
8. Slab
9. Tab
10. Blab")</f>
        <v>User: Name ten words that all end with the exact letters "ab".
Assistant: 1. Cab
2. Dab
3. Grab
4. Gab
5. Jab
6. Lab
7. Nab
8. Slab
9. Tab
10. Blab</v>
      </c>
      <c r="F74" s="396" t="s">
        <v>193</v>
      </c>
      <c r="G74" s="209" t="str">
        <f>substitute(C74,"{{CONVO_HISTORY}}",E74)</f>
        <v>User: Name ten words that all end with the exact letters "ab".
Assistant: 1. Cab
2. Dab
3. Grab
4. Gab
5. Jab
6. Lab
7. Nab
8. Slab
9. Tab
10. Blab
User: Please find replacements for all "words" that are not real words.</v>
      </c>
      <c r="H74" s="151" t="s">
        <v>93</v>
      </c>
      <c r="I74" s="335" t="str">
        <f>claudeMessages(G74,'Tutorial How-To'!$E$37,"temperature",0)</f>
        <v>Here are 10 real words that end with the letters "ab":
1. Cab
2. Dab
3. Grab
4. Gab
5. Jab
6. Lab
7. Nab
8. Slab
9. Tab
10. Blab</v>
      </c>
      <c r="J74" s="106"/>
      <c r="K74" s="108"/>
    </row>
    <row r="75" ht="54.0" customHeight="1">
      <c r="A75" s="106"/>
      <c r="B75" s="199"/>
      <c r="C75" s="254"/>
      <c r="D75" s="114"/>
      <c r="E75" s="114"/>
      <c r="F75" s="114"/>
      <c r="G75" s="114"/>
      <c r="H75" s="114"/>
      <c r="I75" s="114"/>
      <c r="J75" s="106"/>
      <c r="K75" s="108"/>
    </row>
    <row r="76" ht="54.0" customHeight="1">
      <c r="A76" s="106"/>
      <c r="B76" s="199"/>
      <c r="C76" s="254"/>
      <c r="D76" s="114"/>
      <c r="E76" s="114"/>
      <c r="F76" s="114"/>
      <c r="G76" s="114"/>
      <c r="H76" s="114"/>
      <c r="I76" s="114"/>
      <c r="J76" s="106"/>
      <c r="K76" s="108"/>
    </row>
    <row r="77" ht="54.0" customHeight="1">
      <c r="A77" s="106"/>
      <c r="B77" s="199"/>
      <c r="C77" s="257"/>
      <c r="D77" s="114"/>
      <c r="E77" s="157"/>
      <c r="F77" s="114"/>
      <c r="G77" s="157"/>
      <c r="H77" s="114"/>
      <c r="I77" s="157"/>
      <c r="J77" s="106"/>
      <c r="K77" s="108"/>
    </row>
    <row r="78" ht="8.25" customHeight="1">
      <c r="A78" s="106"/>
      <c r="B78" s="108"/>
      <c r="C78" s="108"/>
      <c r="D78" s="191"/>
      <c r="E78" s="108"/>
      <c r="F78" s="191"/>
      <c r="G78" s="108"/>
      <c r="H78" s="191"/>
      <c r="I78" s="144"/>
      <c r="J78" s="106"/>
      <c r="K78" s="108"/>
    </row>
    <row r="79">
      <c r="A79" s="106"/>
      <c r="B79" s="108"/>
      <c r="C79" s="196" t="s">
        <v>90</v>
      </c>
      <c r="D79" s="381"/>
      <c r="E79" s="173"/>
      <c r="F79" s="191"/>
      <c r="G79" s="197" t="s">
        <v>564</v>
      </c>
      <c r="H79" s="291"/>
      <c r="I79" s="291"/>
      <c r="J79" s="106"/>
      <c r="K79" s="108"/>
    </row>
    <row r="80" ht="49.5" customHeight="1">
      <c r="A80" s="106"/>
      <c r="B80" s="111"/>
      <c r="C80" s="330" t="s">
        <v>565</v>
      </c>
      <c r="E80" s="114"/>
      <c r="F80" s="151" t="s">
        <v>93</v>
      </c>
      <c r="G80" s="398" t="str">
        <f>claudeMessages(C80,'Tutorial How-To'!$E$37,"temperature",0)</f>
        <v>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I80" s="114"/>
      <c r="J80" s="106"/>
      <c r="K80" s="108"/>
    </row>
    <row r="81" ht="49.5" customHeight="1">
      <c r="A81" s="106"/>
      <c r="B81" s="111"/>
      <c r="C81" s="291"/>
      <c r="D81" s="291"/>
      <c r="E81" s="157"/>
      <c r="F81" s="114"/>
      <c r="G81" s="291"/>
      <c r="H81" s="291"/>
      <c r="I81" s="157"/>
      <c r="J81" s="106"/>
      <c r="K81" s="108"/>
    </row>
    <row r="82" ht="8.25" customHeight="1">
      <c r="A82" s="106"/>
      <c r="B82" s="137"/>
      <c r="C82" s="108"/>
      <c r="D82" s="191"/>
      <c r="E82" s="108"/>
      <c r="F82" s="191"/>
      <c r="G82" s="108"/>
      <c r="H82" s="191"/>
      <c r="I82" s="144"/>
      <c r="J82" s="106"/>
      <c r="K82" s="108"/>
    </row>
    <row r="83">
      <c r="A83" s="106"/>
      <c r="B83" s="108"/>
      <c r="C83" s="195" t="s">
        <v>187</v>
      </c>
      <c r="D83" s="191"/>
      <c r="E83" s="196" t="s">
        <v>566</v>
      </c>
      <c r="F83" s="191"/>
      <c r="G83" s="197" t="s">
        <v>189</v>
      </c>
      <c r="H83" s="191"/>
      <c r="I83" s="198" t="s">
        <v>567</v>
      </c>
      <c r="J83" s="106"/>
      <c r="K83" s="108"/>
    </row>
    <row r="84" ht="66.75" customHeight="1">
      <c r="A84" s="106"/>
      <c r="B84" s="199"/>
      <c r="C84" s="383" t="s">
        <v>568</v>
      </c>
      <c r="D84" s="394" t="s">
        <v>191</v>
      </c>
      <c r="E84" s="395" t="str">
        <f>concatenate(C80,char(10),"Assistant: ",G80)</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F84" s="396" t="s">
        <v>193</v>
      </c>
      <c r="G84" s="209" t="str">
        <f>substitute(C84,"{{PAST_STORY}}",E84)</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
User: Make the story better.</v>
      </c>
      <c r="H84" s="151" t="s">
        <v>93</v>
      </c>
      <c r="I84" s="335" t="str">
        <f>claudeMessages(G84,'Tutorial How-To'!$E$37,"temperature",0)</f>
        <v>Here is the three-sentence short story with some improvements:
Amelia's heart raced as she pushed herself harder, her legs pumping with each stride as she flew down the winding trail. The rhythmic pounding of her feet and the rush of air past her ears filled her senses, and she felt a profound sense of joy and liberation with every step. Crossing the finish line, she broke into a wide grin, reveling in the knowledge that she had conquered the challenge and emerged stronger and more confident than before.</v>
      </c>
      <c r="J84" s="106"/>
      <c r="K84" s="108"/>
    </row>
    <row r="85" ht="66.75" customHeight="1">
      <c r="A85" s="106"/>
      <c r="B85" s="199"/>
      <c r="C85" s="254"/>
      <c r="D85" s="114"/>
      <c r="E85" s="114"/>
      <c r="F85" s="114"/>
      <c r="G85" s="114"/>
      <c r="H85" s="114"/>
      <c r="I85" s="114"/>
      <c r="J85" s="106"/>
      <c r="K85" s="108"/>
    </row>
    <row r="86" ht="66.75" customHeight="1">
      <c r="A86" s="106"/>
      <c r="B86" s="199"/>
      <c r="C86" s="254"/>
      <c r="D86" s="114"/>
      <c r="E86" s="114"/>
      <c r="F86" s="114"/>
      <c r="G86" s="114"/>
      <c r="H86" s="114"/>
      <c r="I86" s="114"/>
      <c r="J86" s="106"/>
      <c r="K86" s="108"/>
    </row>
    <row r="87" ht="66.75" customHeight="1">
      <c r="A87" s="106"/>
      <c r="B87" s="199"/>
      <c r="C87" s="257"/>
      <c r="D87" s="114"/>
      <c r="E87" s="157"/>
      <c r="F87" s="114"/>
      <c r="G87" s="157"/>
      <c r="H87" s="114"/>
      <c r="I87" s="157"/>
      <c r="J87" s="106"/>
      <c r="K87" s="108"/>
    </row>
    <row r="88" ht="8.25" customHeight="1">
      <c r="A88" s="106"/>
      <c r="B88" s="108"/>
      <c r="C88" s="108"/>
      <c r="D88" s="191"/>
      <c r="E88" s="108"/>
      <c r="F88" s="191"/>
      <c r="G88" s="108"/>
      <c r="H88" s="191"/>
      <c r="I88" s="144"/>
      <c r="J88" s="106"/>
      <c r="K88" s="108"/>
    </row>
    <row r="89">
      <c r="A89" s="106"/>
      <c r="B89" s="108"/>
      <c r="C89" s="196" t="s">
        <v>570</v>
      </c>
      <c r="D89" s="191"/>
      <c r="E89" s="196" t="s">
        <v>571</v>
      </c>
      <c r="F89" s="191"/>
      <c r="G89" s="386" t="s">
        <v>578</v>
      </c>
      <c r="H89" s="191"/>
      <c r="I89" s="205"/>
      <c r="J89" s="106"/>
      <c r="K89" s="108"/>
    </row>
    <row r="90" ht="94.5" customHeight="1">
      <c r="A90" s="106"/>
      <c r="B90" s="111"/>
      <c r="C90" s="209" t="s">
        <v>573</v>
      </c>
      <c r="D90" s="151" t="s">
        <v>93</v>
      </c>
      <c r="E90" s="335" t="str">
        <f>claudeMessages(C90, 'Tutorial How-To'!$E$37,"temperature",0)</f>
        <v>- Jesse
- Erin
- Joey
- Keisha
- Mel
&lt;/names&gt;</v>
      </c>
      <c r="F90" s="399" t="s">
        <v>191</v>
      </c>
      <c r="G90" s="388" t="s">
        <v>574</v>
      </c>
      <c r="H90" s="108"/>
      <c r="I90" s="205"/>
      <c r="J90" s="106"/>
      <c r="K90" s="108"/>
    </row>
    <row r="91" ht="15.75" customHeight="1">
      <c r="A91" s="106"/>
      <c r="B91" s="111"/>
      <c r="C91" s="114"/>
      <c r="D91" s="114"/>
      <c r="E91" s="114"/>
      <c r="F91" s="192"/>
      <c r="G91" s="389" t="s">
        <v>193</v>
      </c>
      <c r="H91" s="191"/>
      <c r="I91" s="205"/>
      <c r="J91" s="106"/>
      <c r="K91" s="108"/>
    </row>
    <row r="92" ht="15.75" customHeight="1">
      <c r="A92" s="106"/>
      <c r="B92" s="163"/>
      <c r="C92" s="114"/>
      <c r="D92" s="114"/>
      <c r="E92" s="114"/>
      <c r="F92" s="137"/>
      <c r="G92" s="197" t="s">
        <v>575</v>
      </c>
      <c r="H92" s="137"/>
      <c r="I92" s="198" t="s">
        <v>576</v>
      </c>
      <c r="J92" s="146"/>
      <c r="K92" s="108"/>
    </row>
    <row r="93" ht="83.25" customHeight="1">
      <c r="A93" s="106"/>
      <c r="B93" s="163"/>
      <c r="C93" s="114"/>
      <c r="D93" s="114"/>
      <c r="E93" s="114"/>
      <c r="F93" s="163"/>
      <c r="G93" s="209" t="str">
        <f>substitute(G90,"{{NAMES}}",E90)</f>
        <v>User: Here is a list of names: 
&lt;names&gt;- Jesse
- Erin
- Joey
- Keisha
- Mel
&lt;/names&gt;
Please alphabetize the list.</v>
      </c>
      <c r="H93" s="151" t="s">
        <v>93</v>
      </c>
      <c r="I93" s="335" t="str">
        <f>claudeMessages(G93, 'Tutorial How-To'!$E$37,"temperature",0)</f>
        <v>Here is the list of names alphabetized:
&lt;names&gt;
- Erin
- Jesse
- Joey
- Keisha
- Mel
&lt;/names&gt;</v>
      </c>
      <c r="J93" s="146"/>
      <c r="K93" s="108"/>
    </row>
    <row r="94" ht="83.25" customHeight="1">
      <c r="A94" s="106"/>
      <c r="B94" s="163"/>
      <c r="C94" s="157"/>
      <c r="D94" s="114"/>
      <c r="E94" s="157"/>
      <c r="F94" s="163"/>
      <c r="G94" s="157"/>
      <c r="H94" s="164"/>
      <c r="I94" s="114"/>
      <c r="J94" s="146"/>
      <c r="K94" s="108"/>
    </row>
    <row r="95" ht="15.75" customHeight="1">
      <c r="B95" s="120"/>
      <c r="C95" s="245"/>
      <c r="D95" s="246"/>
      <c r="E95" s="247"/>
      <c r="F95" s="248"/>
      <c r="G95" s="247"/>
      <c r="H95" s="248"/>
      <c r="I95" s="247"/>
      <c r="J95" s="66"/>
    </row>
    <row r="96">
      <c r="D96" s="34"/>
      <c r="F96" s="34"/>
      <c r="G96" s="97"/>
      <c r="H96" s="34"/>
      <c r="I96" s="71"/>
    </row>
    <row r="97">
      <c r="B97" s="121" t="s">
        <v>579</v>
      </c>
      <c r="G97" s="97"/>
      <c r="H97" s="34"/>
      <c r="I97" s="42" t="s">
        <v>580</v>
      </c>
    </row>
    <row r="98">
      <c r="G98" s="97"/>
      <c r="H98" s="34"/>
      <c r="I98" s="71"/>
    </row>
    <row r="99">
      <c r="B99" s="123" t="s">
        <v>80</v>
      </c>
    </row>
    <row r="100">
      <c r="B100" s="123" t="s">
        <v>113</v>
      </c>
    </row>
    <row r="101">
      <c r="D101" s="34"/>
      <c r="F101" s="34"/>
      <c r="G101" s="97"/>
      <c r="H101" s="34"/>
      <c r="I101" s="71"/>
    </row>
    <row r="102">
      <c r="D102" s="34"/>
      <c r="F102" s="34"/>
      <c r="G102" s="97"/>
      <c r="H102" s="34"/>
      <c r="I102" s="71"/>
    </row>
    <row r="103">
      <c r="D103" s="34"/>
      <c r="F103" s="34"/>
      <c r="G103" s="97"/>
      <c r="H103" s="34"/>
      <c r="I103" s="71"/>
    </row>
    <row r="104">
      <c r="D104" s="34"/>
      <c r="F104" s="34"/>
      <c r="G104" s="97"/>
      <c r="H104" s="34"/>
      <c r="I104" s="71"/>
    </row>
  </sheetData>
  <mergeCells count="86">
    <mergeCell ref="I44:I47"/>
    <mergeCell ref="B49:J49"/>
    <mergeCell ref="C40:E41"/>
    <mergeCell ref="C44:C47"/>
    <mergeCell ref="D44:D47"/>
    <mergeCell ref="E44:E47"/>
    <mergeCell ref="F44:F47"/>
    <mergeCell ref="G44:G47"/>
    <mergeCell ref="H44:H47"/>
    <mergeCell ref="H68:H71"/>
    <mergeCell ref="I68:I71"/>
    <mergeCell ref="B59:E59"/>
    <mergeCell ref="C63:E65"/>
    <mergeCell ref="F63:F65"/>
    <mergeCell ref="G63:I65"/>
    <mergeCell ref="C68:C71"/>
    <mergeCell ref="D68:D71"/>
    <mergeCell ref="E68:E71"/>
    <mergeCell ref="H74:H77"/>
    <mergeCell ref="I74:I77"/>
    <mergeCell ref="G79:I79"/>
    <mergeCell ref="F68:F71"/>
    <mergeCell ref="G68:G71"/>
    <mergeCell ref="C74:C77"/>
    <mergeCell ref="D74:D77"/>
    <mergeCell ref="E74:E77"/>
    <mergeCell ref="F74:F77"/>
    <mergeCell ref="G74:G77"/>
    <mergeCell ref="G84:G87"/>
    <mergeCell ref="H84:H87"/>
    <mergeCell ref="G93:G94"/>
    <mergeCell ref="I93:I94"/>
    <mergeCell ref="I97:J97"/>
    <mergeCell ref="C84:C87"/>
    <mergeCell ref="C90:C94"/>
    <mergeCell ref="D90:D94"/>
    <mergeCell ref="E90:E94"/>
    <mergeCell ref="B97:E97"/>
    <mergeCell ref="B99:J99"/>
    <mergeCell ref="B100:J100"/>
    <mergeCell ref="C80:E81"/>
    <mergeCell ref="F80:F81"/>
    <mergeCell ref="G80:I81"/>
    <mergeCell ref="D84:D87"/>
    <mergeCell ref="E84:E87"/>
    <mergeCell ref="F84:F87"/>
    <mergeCell ref="I84:I87"/>
    <mergeCell ref="B1:G1"/>
    <mergeCell ref="B3:C3"/>
    <mergeCell ref="B8:E8"/>
    <mergeCell ref="I8:J8"/>
    <mergeCell ref="B9:J9"/>
    <mergeCell ref="I11:J11"/>
    <mergeCell ref="B12:J12"/>
    <mergeCell ref="G22:G25"/>
    <mergeCell ref="H22:H25"/>
    <mergeCell ref="I22:I25"/>
    <mergeCell ref="B27:J27"/>
    <mergeCell ref="B11:E11"/>
    <mergeCell ref="C15:E17"/>
    <mergeCell ref="F15:F17"/>
    <mergeCell ref="G15:I17"/>
    <mergeCell ref="B19:J19"/>
    <mergeCell ref="C22:C25"/>
    <mergeCell ref="D22:D25"/>
    <mergeCell ref="E22:E25"/>
    <mergeCell ref="F22:F25"/>
    <mergeCell ref="C30:C33"/>
    <mergeCell ref="D30:D33"/>
    <mergeCell ref="E30:E33"/>
    <mergeCell ref="F30:F33"/>
    <mergeCell ref="G30:G33"/>
    <mergeCell ref="H30:H33"/>
    <mergeCell ref="I30:I33"/>
    <mergeCell ref="B35:J35"/>
    <mergeCell ref="B37:J37"/>
    <mergeCell ref="G39:I39"/>
    <mergeCell ref="F40:F41"/>
    <mergeCell ref="G40:I41"/>
    <mergeCell ref="C52:C56"/>
    <mergeCell ref="D52:D56"/>
    <mergeCell ref="E52:E56"/>
    <mergeCell ref="G55:G56"/>
    <mergeCell ref="I55:I56"/>
    <mergeCell ref="I59:J59"/>
    <mergeCell ref="B60:J60"/>
  </mergeCells>
  <hyperlinks>
    <hyperlink display="Lesson" location="'Appendix - Chaining Prompts'!B8:E8" ref="C4"/>
    <hyperlink display="Examples" location="'Appendix - Chaining Prompts'!B11:E11" ref="C5"/>
    <hyperlink display="Example Playground" location="'Appendix - Chaining Prompts'!B75:E75" ref="C6"/>
    <hyperlink display="Back to top ↑" location="'Appendix - Chaining Prompts'!B1:G1" ref="I8"/>
    <hyperlink r:id="rId1" ref="B9"/>
    <hyperlink display="Back to top ↑" location="'Appendix - Chaining Prompts'!B1:G1" ref="I11"/>
    <hyperlink display="Back to top ↑" location="'Appendix - Chaining Prompts'!B1:G1" ref="I59"/>
    <hyperlink display="← Chapter 9: Congratulations &amp; Next Steps" location="C9CongratsTitle" ref="B97"/>
    <hyperlink display="Appendix: Function Calling →" location="AppFunctionTitle" ref="I97"/>
    <hyperlink display="Back to top ↑" location="'Appendix - Chaining Prompts'!B1:G1" ref="B99"/>
    <hyperlink display="Table of Contents" location="IntroTitle" ref="B100"/>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32.75"/>
    <col customWidth="1" min="4" max="4" width="4.0"/>
    <col customWidth="1" min="5" max="5" width="39.38"/>
    <col customWidth="1" min="6" max="6" width="4.0"/>
    <col customWidth="1" min="7" max="7" width="6.0"/>
  </cols>
  <sheetData>
    <row r="1" ht="32.25" customHeight="1">
      <c r="A1" s="1"/>
      <c r="B1" s="2" t="s">
        <v>581</v>
      </c>
    </row>
    <row r="2" ht="21.75" customHeight="1">
      <c r="D2" s="34"/>
      <c r="F2" s="34"/>
      <c r="G2" s="97"/>
    </row>
    <row r="3" ht="21.75" customHeight="1">
      <c r="A3" s="23"/>
      <c r="B3" s="69" t="s">
        <v>76</v>
      </c>
    </row>
    <row r="4" ht="15.75" customHeight="1">
      <c r="A4" s="23"/>
      <c r="C4" s="70" t="s">
        <v>72</v>
      </c>
    </row>
    <row r="5" ht="15.75" customHeight="1">
      <c r="A5" s="23"/>
    </row>
    <row r="6" ht="30.75" customHeight="1">
      <c r="A6" s="23" t="s">
        <v>78</v>
      </c>
      <c r="B6" s="72" t="s">
        <v>72</v>
      </c>
      <c r="C6" s="73"/>
      <c r="D6" s="73"/>
      <c r="E6" s="74" t="s">
        <v>80</v>
      </c>
      <c r="F6" s="75"/>
    </row>
    <row r="7">
      <c r="B7" s="400" t="s">
        <v>582</v>
      </c>
      <c r="C7" s="49"/>
      <c r="D7" s="49"/>
      <c r="E7" s="49"/>
      <c r="F7" s="50"/>
    </row>
    <row r="8" ht="29.25" customHeight="1">
      <c r="D8" s="34"/>
      <c r="F8" s="34"/>
      <c r="G8" s="97"/>
    </row>
    <row r="9">
      <c r="B9" s="121" t="s">
        <v>583</v>
      </c>
      <c r="D9" s="401"/>
      <c r="E9" s="42" t="s">
        <v>584</v>
      </c>
      <c r="G9" s="97"/>
    </row>
    <row r="10">
      <c r="G10" s="97"/>
    </row>
    <row r="11">
      <c r="B11" s="123" t="s">
        <v>80</v>
      </c>
      <c r="G11" s="402"/>
    </row>
    <row r="12">
      <c r="B12" s="123" t="s">
        <v>113</v>
      </c>
      <c r="G12" s="402"/>
    </row>
    <row r="13">
      <c r="D13" s="34"/>
      <c r="F13" s="34"/>
      <c r="G13" s="97"/>
    </row>
    <row r="14">
      <c r="D14" s="34"/>
      <c r="F14" s="34"/>
      <c r="G14" s="97"/>
    </row>
    <row r="15">
      <c r="D15" s="34"/>
      <c r="F15" s="34"/>
      <c r="G15" s="97"/>
    </row>
    <row r="16">
      <c r="D16" s="34"/>
      <c r="F16" s="34"/>
      <c r="G16" s="97"/>
    </row>
  </sheetData>
  <mergeCells count="9">
    <mergeCell ref="B11:F11"/>
    <mergeCell ref="B12:F12"/>
    <mergeCell ref="B1:G1"/>
    <mergeCell ref="B3:C3"/>
    <mergeCell ref="B6:D6"/>
    <mergeCell ref="E6:F6"/>
    <mergeCell ref="B7:F7"/>
    <mergeCell ref="B9:C9"/>
    <mergeCell ref="E9:F9"/>
  </mergeCells>
  <hyperlinks>
    <hyperlink display="Back to top ↑" location="App1Title" ref="E6"/>
    <hyperlink r:id="rId1" ref="B7"/>
    <hyperlink display="← Appendix: Chaining Prompts" location="AppChainingTitle" ref="B9"/>
    <hyperlink display="Appendix: Search &amp; Retrieval →" location="App1Search" ref="E9"/>
    <hyperlink display="Back to top ↑" location="AppFunctionTitle" ref="B11"/>
    <hyperlink display="Table of Contents" location="IntroTitle" ref="B1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585</v>
      </c>
      <c r="F1" s="3"/>
      <c r="G1" s="3"/>
    </row>
    <row r="2" ht="21.75" customHeight="1"/>
    <row r="3" ht="21.75" customHeight="1">
      <c r="A3" s="23"/>
      <c r="B3" s="69" t="s">
        <v>76</v>
      </c>
    </row>
    <row r="4" ht="15.75" customHeight="1">
      <c r="A4" s="23"/>
      <c r="C4" s="70" t="s">
        <v>73</v>
      </c>
    </row>
    <row r="5" ht="33.75" customHeight="1"/>
    <row r="6" ht="29.25" customHeight="1">
      <c r="A6" s="71"/>
      <c r="B6" s="72" t="s">
        <v>73</v>
      </c>
      <c r="C6" s="73"/>
      <c r="D6" s="73"/>
      <c r="E6" s="74" t="s">
        <v>80</v>
      </c>
      <c r="F6" s="75"/>
      <c r="G6" s="71"/>
    </row>
    <row r="7">
      <c r="B7" s="403" t="s">
        <v>586</v>
      </c>
      <c r="C7" s="49"/>
      <c r="D7" s="49"/>
      <c r="E7" s="49"/>
      <c r="F7" s="50"/>
    </row>
    <row r="9">
      <c r="B9" s="121" t="s">
        <v>583</v>
      </c>
      <c r="E9" s="404"/>
    </row>
    <row r="10" ht="8.25" customHeight="1"/>
    <row r="11">
      <c r="B11" s="123" t="s">
        <v>80</v>
      </c>
    </row>
    <row r="12">
      <c r="B12" s="123" t="s">
        <v>113</v>
      </c>
    </row>
  </sheetData>
  <mergeCells count="9">
    <mergeCell ref="B11:F11"/>
    <mergeCell ref="B12:F12"/>
    <mergeCell ref="B1:E1"/>
    <mergeCell ref="B3:C3"/>
    <mergeCell ref="B6:D6"/>
    <mergeCell ref="E6:F6"/>
    <mergeCell ref="B7:F7"/>
    <mergeCell ref="B9:D9"/>
    <mergeCell ref="E9:F9"/>
  </mergeCells>
  <hyperlinks>
    <hyperlink display="Search &amp; Retrieval" location="App1Search" ref="C4"/>
    <hyperlink display="Back to top ↑" location="App1Title" ref="E6"/>
    <hyperlink r:id="rId1" ref="B7"/>
    <hyperlink display="← Appendix: Chaining Prompts" location="AppChainingTitle" ref="B9"/>
    <hyperlink display="Back to top ↑" location="App1Title" ref="B11"/>
    <hyperlink display="Table of Contents" location="IntroTitle" ref="B12"/>
  </hyperlinks>
  <drawing r:id="rId2"/>
</worksheet>
</file>